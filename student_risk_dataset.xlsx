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tamim/Desktop/واجبات الفصل الصيفي/it475/"/>
    </mc:Choice>
  </mc:AlternateContent>
  <xr:revisionPtr revIDLastSave="0" documentId="13_ncr:1_{5EC9C402-F202-0144-8F6D-D1B6A60EF387}" xr6:coauthVersionLast="47" xr6:coauthVersionMax="47" xr10:uidLastSave="{00000000-0000-0000-0000-000000000000}"/>
  <bookViews>
    <workbookView xWindow="0" yWindow="600" windowWidth="23260" windowHeight="12580" tabRatio="500" activeTab="2" xr2:uid="{00000000-000D-0000-FFFF-FFFF00000000}"/>
  </bookViews>
  <sheets>
    <sheet name="Student Data" sheetId="2" r:id="rId1"/>
    <sheet name="Dashboard" sheetId="1" r:id="rId2"/>
    <sheet name="READM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11" i="1" l="1"/>
  <c r="K10" i="1" s="1"/>
  <c r="N9" i="1"/>
  <c r="E10" i="1" s="1"/>
  <c r="N3" i="1"/>
  <c r="A5" i="1" s="1"/>
  <c r="N8" i="1"/>
  <c r="N10" i="1"/>
  <c r="N6" i="1"/>
  <c r="N4" i="1"/>
  <c r="N5" i="1"/>
  <c r="F2" i="2"/>
  <c r="F3" i="2"/>
  <c r="H3" i="2" s="1"/>
  <c r="F4" i="2"/>
  <c r="H4" i="2" s="1"/>
  <c r="F5" i="2"/>
  <c r="H5" i="2" s="1"/>
  <c r="F6" i="2"/>
  <c r="H6" i="2" s="1"/>
  <c r="F7" i="2"/>
  <c r="H7" i="2" s="1"/>
  <c r="F8" i="2"/>
  <c r="H8" i="2" s="1"/>
  <c r="F9" i="2"/>
  <c r="H9" i="2" s="1"/>
  <c r="F10" i="2"/>
  <c r="H10" i="2" s="1"/>
  <c r="F11" i="2"/>
  <c r="H11" i="2" s="1"/>
  <c r="F12" i="2"/>
  <c r="H12" i="2" s="1"/>
  <c r="F13" i="2"/>
  <c r="H13" i="2" s="1"/>
  <c r="F14" i="2"/>
  <c r="H14" i="2" s="1"/>
  <c r="F15" i="2"/>
  <c r="H15" i="2" s="1"/>
  <c r="F16" i="2"/>
  <c r="H16" i="2" s="1"/>
  <c r="F17" i="2"/>
  <c r="H17" i="2" s="1"/>
  <c r="F18" i="2"/>
  <c r="H18" i="2" s="1"/>
  <c r="F19" i="2"/>
  <c r="H19" i="2" s="1"/>
  <c r="F20" i="2"/>
  <c r="H20" i="2" s="1"/>
  <c r="F21" i="2"/>
  <c r="H21" i="2" s="1"/>
  <c r="F22" i="2"/>
  <c r="H22" i="2" s="1"/>
  <c r="F23" i="2"/>
  <c r="H23" i="2" s="1"/>
  <c r="F24" i="2"/>
  <c r="H24" i="2" s="1"/>
  <c r="F25" i="2"/>
  <c r="H25" i="2" s="1"/>
  <c r="F26" i="2"/>
  <c r="H26" i="2" s="1"/>
  <c r="F27" i="2"/>
  <c r="H27" i="2" s="1"/>
  <c r="F28" i="2"/>
  <c r="H28" i="2" s="1"/>
  <c r="F29" i="2"/>
  <c r="H29" i="2" s="1"/>
  <c r="F30" i="2"/>
  <c r="H30" i="2" s="1"/>
  <c r="F31" i="2"/>
  <c r="H31" i="2" s="1"/>
  <c r="F32" i="2"/>
  <c r="H32" i="2" s="1"/>
  <c r="F33" i="2"/>
  <c r="H33" i="2" s="1"/>
  <c r="F34" i="2"/>
  <c r="H34" i="2" s="1"/>
  <c r="F35" i="2"/>
  <c r="H35" i="2" s="1"/>
  <c r="F36" i="2"/>
  <c r="H36" i="2" s="1"/>
  <c r="F37" i="2"/>
  <c r="H37" i="2" s="1"/>
  <c r="F38" i="2"/>
  <c r="H38" i="2" s="1"/>
  <c r="F39" i="2"/>
  <c r="H39" i="2" s="1"/>
  <c r="F40" i="2"/>
  <c r="H40" i="2" s="1"/>
  <c r="F41" i="2"/>
  <c r="H41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H10" i="1" l="1"/>
  <c r="B10" i="1"/>
  <c r="H2" i="2"/>
  <c r="J41" i="2"/>
  <c r="J40" i="2"/>
  <c r="J39" i="2"/>
  <c r="J38" i="2"/>
  <c r="J37" i="2"/>
  <c r="J36" i="2"/>
  <c r="J35" i="2"/>
  <c r="J34" i="2"/>
  <c r="J33" i="2"/>
  <c r="J32" i="2"/>
  <c r="J31" i="2"/>
  <c r="J30" i="2"/>
  <c r="J28" i="2"/>
  <c r="J27" i="2"/>
  <c r="J25" i="2"/>
  <c r="J24" i="2"/>
  <c r="J11" i="2"/>
  <c r="J23" i="2"/>
  <c r="J22" i="2"/>
  <c r="J21" i="2"/>
  <c r="J20" i="2"/>
  <c r="J19" i="2"/>
  <c r="J18" i="2"/>
  <c r="J17" i="2"/>
  <c r="J16" i="2"/>
  <c r="J15" i="2"/>
  <c r="J14" i="2"/>
  <c r="J13" i="2"/>
  <c r="J12" i="2"/>
  <c r="J10" i="2"/>
  <c r="J9" i="2"/>
  <c r="J8" i="2"/>
  <c r="J7" i="2"/>
  <c r="J5" i="2"/>
  <c r="J4" i="2"/>
  <c r="J3" i="2"/>
  <c r="J2" i="2"/>
  <c r="J6" i="2"/>
  <c r="J29" i="2"/>
  <c r="J26" i="2"/>
  <c r="Q41" i="2" l="1"/>
  <c r="L41" i="2"/>
  <c r="P41" i="2"/>
  <c r="M41" i="2"/>
  <c r="N41" i="2"/>
  <c r="O41" i="2"/>
  <c r="N40" i="2"/>
  <c r="P40" i="2"/>
  <c r="M40" i="2"/>
  <c r="L40" i="2"/>
  <c r="Q40" i="2"/>
  <c r="O40" i="2"/>
  <c r="M39" i="2"/>
  <c r="N39" i="2"/>
  <c r="O39" i="2"/>
  <c r="P39" i="2"/>
  <c r="Q39" i="2"/>
  <c r="L39" i="2"/>
  <c r="L38" i="2"/>
  <c r="M38" i="2"/>
  <c r="N38" i="2"/>
  <c r="P38" i="2"/>
  <c r="Q38" i="2"/>
  <c r="O38" i="2"/>
  <c r="L37" i="2"/>
  <c r="M37" i="2"/>
  <c r="N37" i="2"/>
  <c r="O37" i="2"/>
  <c r="P37" i="2"/>
  <c r="Q37" i="2"/>
  <c r="L36" i="2"/>
  <c r="M36" i="2"/>
  <c r="N36" i="2"/>
  <c r="O36" i="2"/>
  <c r="P36" i="2"/>
  <c r="Q36" i="2"/>
  <c r="P35" i="2"/>
  <c r="Q35" i="2"/>
  <c r="N35" i="2"/>
  <c r="L35" i="2"/>
  <c r="M35" i="2"/>
  <c r="O35" i="2"/>
  <c r="Q34" i="2"/>
  <c r="M34" i="2"/>
  <c r="P34" i="2"/>
  <c r="L34" i="2"/>
  <c r="O34" i="2"/>
  <c r="N34" i="2"/>
  <c r="L33" i="2"/>
  <c r="M33" i="2"/>
  <c r="Q33" i="2"/>
  <c r="P33" i="2"/>
  <c r="O33" i="2"/>
  <c r="N33" i="2"/>
  <c r="O32" i="2"/>
  <c r="N32" i="2"/>
  <c r="Q32" i="2"/>
  <c r="M32" i="2"/>
  <c r="L32" i="2"/>
  <c r="P32" i="2"/>
  <c r="O31" i="2"/>
  <c r="P31" i="2"/>
  <c r="Q31" i="2"/>
  <c r="L31" i="2"/>
  <c r="M31" i="2"/>
  <c r="N31" i="2"/>
  <c r="M30" i="2"/>
  <c r="N30" i="2"/>
  <c r="O30" i="2"/>
  <c r="P30" i="2"/>
  <c r="Q30" i="2"/>
  <c r="L30" i="2"/>
  <c r="Q28" i="2"/>
  <c r="L28" i="2"/>
  <c r="M28" i="2"/>
  <c r="N28" i="2"/>
  <c r="O28" i="2"/>
  <c r="P28" i="2"/>
  <c r="L27" i="2"/>
  <c r="M27" i="2"/>
  <c r="N27" i="2"/>
  <c r="O27" i="2"/>
  <c r="P27" i="2"/>
  <c r="Q27" i="2"/>
  <c r="O25" i="2"/>
  <c r="M25" i="2"/>
  <c r="Q25" i="2"/>
  <c r="N25" i="2"/>
  <c r="L25" i="2"/>
  <c r="P25" i="2"/>
  <c r="L24" i="2"/>
  <c r="M24" i="2"/>
  <c r="N24" i="2"/>
  <c r="O24" i="2"/>
  <c r="P24" i="2"/>
  <c r="Q24" i="2"/>
  <c r="O11" i="2"/>
  <c r="Q11" i="2"/>
  <c r="N11" i="2"/>
  <c r="P11" i="2"/>
  <c r="M11" i="2"/>
  <c r="L11" i="2"/>
  <c r="N23" i="2"/>
  <c r="O23" i="2"/>
  <c r="Q23" i="2"/>
  <c r="L23" i="2"/>
  <c r="M23" i="2"/>
  <c r="P23" i="2"/>
  <c r="L22" i="2"/>
  <c r="M22" i="2"/>
  <c r="N22" i="2"/>
  <c r="O22" i="2"/>
  <c r="P22" i="2"/>
  <c r="Q22" i="2"/>
  <c r="P21" i="2"/>
  <c r="Q21" i="2"/>
  <c r="L21" i="2"/>
  <c r="M21" i="2"/>
  <c r="N21" i="2"/>
  <c r="O21" i="2"/>
  <c r="L20" i="2"/>
  <c r="M20" i="2"/>
  <c r="N20" i="2"/>
  <c r="O20" i="2"/>
  <c r="P20" i="2"/>
  <c r="Q20" i="2"/>
  <c r="L19" i="2"/>
  <c r="M19" i="2"/>
  <c r="N19" i="2"/>
  <c r="O19" i="2"/>
  <c r="P19" i="2"/>
  <c r="Q19" i="2"/>
  <c r="O18" i="2"/>
  <c r="Q18" i="2"/>
  <c r="L18" i="2"/>
  <c r="N18" i="2"/>
  <c r="P18" i="2"/>
  <c r="M18" i="2"/>
  <c r="L17" i="2"/>
  <c r="N17" i="2"/>
  <c r="Q17" i="2"/>
  <c r="O17" i="2"/>
  <c r="M17" i="2"/>
  <c r="P17" i="2"/>
  <c r="N16" i="2"/>
  <c r="O16" i="2"/>
  <c r="P16" i="2"/>
  <c r="Q16" i="2"/>
  <c r="L16" i="2"/>
  <c r="M16" i="2"/>
  <c r="M15" i="2"/>
  <c r="Q15" i="2"/>
  <c r="O15" i="2"/>
  <c r="L15" i="2"/>
  <c r="N15" i="2"/>
  <c r="P15" i="2"/>
  <c r="Q14" i="2"/>
  <c r="L14" i="2"/>
  <c r="M14" i="2"/>
  <c r="N14" i="2"/>
  <c r="O14" i="2"/>
  <c r="P14" i="2"/>
  <c r="P13" i="2"/>
  <c r="O13" i="2"/>
  <c r="Q13" i="2"/>
  <c r="N13" i="2"/>
  <c r="L13" i="2"/>
  <c r="M13" i="2"/>
  <c r="N12" i="2"/>
  <c r="M12" i="2"/>
  <c r="L12" i="2"/>
  <c r="Q12" i="2"/>
  <c r="P12" i="2"/>
  <c r="O12" i="2"/>
  <c r="O10" i="2"/>
  <c r="M10" i="2"/>
  <c r="N10" i="2"/>
  <c r="P10" i="2"/>
  <c r="Q10" i="2"/>
  <c r="L10" i="2"/>
  <c r="P9" i="2"/>
  <c r="Q9" i="2"/>
  <c r="O9" i="2"/>
  <c r="M9" i="2"/>
  <c r="N9" i="2"/>
  <c r="L9" i="2"/>
  <c r="N8" i="2"/>
  <c r="Q8" i="2"/>
  <c r="O8" i="2"/>
  <c r="L8" i="2"/>
  <c r="P8" i="2"/>
  <c r="M8" i="2"/>
  <c r="N7" i="2"/>
  <c r="M7" i="2"/>
  <c r="P7" i="2"/>
  <c r="L7" i="2"/>
  <c r="Q7" i="2"/>
  <c r="O7" i="2"/>
  <c r="N5" i="2"/>
  <c r="Q5" i="2"/>
  <c r="M5" i="2"/>
  <c r="L5" i="2"/>
  <c r="P5" i="2"/>
  <c r="O5" i="2"/>
  <c r="M4" i="2"/>
  <c r="P4" i="2"/>
  <c r="N4" i="2"/>
  <c r="O4" i="2"/>
  <c r="Q4" i="2"/>
  <c r="L4" i="2"/>
  <c r="L3" i="2"/>
  <c r="Q3" i="2"/>
  <c r="P3" i="2"/>
  <c r="O3" i="2"/>
  <c r="M3" i="2"/>
  <c r="N3" i="2"/>
  <c r="N2" i="2"/>
  <c r="L2" i="2"/>
  <c r="Q2" i="2"/>
  <c r="O2" i="2"/>
  <c r="M2" i="2"/>
  <c r="P2" i="2"/>
  <c r="N6" i="2"/>
  <c r="O6" i="2"/>
  <c r="Q6" i="2"/>
  <c r="P6" i="2"/>
  <c r="M6" i="2"/>
  <c r="L6" i="2"/>
  <c r="P29" i="2"/>
  <c r="Q29" i="2"/>
  <c r="N29" i="2"/>
  <c r="L29" i="2"/>
  <c r="M29" i="2"/>
  <c r="O29" i="2"/>
  <c r="L26" i="2"/>
  <c r="M26" i="2"/>
  <c r="Q26" i="2"/>
  <c r="P26" i="2"/>
  <c r="O26" i="2"/>
  <c r="N26" i="2"/>
  <c r="B17" i="1" l="1"/>
  <c r="G5" i="1"/>
  <c r="C5" i="1"/>
  <c r="N7" i="1"/>
  <c r="I5" i="1" s="1"/>
  <c r="B15" i="1"/>
  <c r="E5" i="1"/>
  <c r="B16" i="1"/>
</calcChain>
</file>

<file path=xl/sharedStrings.xml><?xml version="1.0" encoding="utf-8"?>
<sst xmlns="http://schemas.openxmlformats.org/spreadsheetml/2006/main" count="163" uniqueCount="159">
  <si>
    <t>SPSS Educator Dashboard — Student Risk Overview</t>
  </si>
  <si>
    <t>Calc Engine (formulas feed the KPI cards &amp; charts above — do not delete)</t>
  </si>
  <si>
    <t>Live snapshot generated from the Student Data sheet — updates automatically as scores and attendance are entered.</t>
  </si>
  <si>
    <t>Total Students</t>
  </si>
  <si>
    <t>RED — Dual Risk</t>
  </si>
  <si>
    <t>YELLOW — Single Risk</t>
  </si>
  <si>
    <t>GREEN — Satisfactory</t>
  </si>
  <si>
    <t>% Students At Risk</t>
  </si>
  <si>
    <t>Red Count</t>
  </si>
  <si>
    <t>Yellow Count</t>
  </si>
  <si>
    <t>Green Count</t>
  </si>
  <si>
    <t>Pct At Risk</t>
  </si>
  <si>
    <t>students</t>
  </si>
  <si>
    <t>of roster</t>
  </si>
  <si>
    <t>Avg Class Average</t>
  </si>
  <si>
    <t>Avg Attendance</t>
  </si>
  <si>
    <t>Avg Class Average:</t>
  </si>
  <si>
    <t>Avg Attendance %:</t>
  </si>
  <si>
    <t>Lowest Average:</t>
  </si>
  <si>
    <t>Lowest Attendance:</t>
  </si>
  <si>
    <t>Lowest Average</t>
  </si>
  <si>
    <t>Lowest Attendance</t>
  </si>
  <si>
    <t>Risk Category Breakdown</t>
  </si>
  <si>
    <t>Category</t>
  </si>
  <si>
    <t>Students</t>
  </si>
  <si>
    <t>RED - Dual Risk</t>
  </si>
  <si>
    <t>YELLOW - Single Risk</t>
  </si>
  <si>
    <t>GREEN - Satisfactory</t>
  </si>
  <si>
    <t>Week</t>
  </si>
  <si>
    <t>Red</t>
  </si>
  <si>
    <t>Yellow</t>
  </si>
  <si>
    <t>Green</t>
  </si>
  <si>
    <t>Week 1</t>
  </si>
  <si>
    <t>Week 2</t>
  </si>
  <si>
    <t>Week 3</t>
  </si>
  <si>
    <t>Week 4</t>
  </si>
  <si>
    <t>Week 5</t>
  </si>
  <si>
    <t>Week 6</t>
  </si>
  <si>
    <t>Student ID</t>
  </si>
  <si>
    <t>Name</t>
  </si>
  <si>
    <t>Test 1</t>
  </si>
  <si>
    <t>Test 2</t>
  </si>
  <si>
    <t>Test 3</t>
  </si>
  <si>
    <t>Average</t>
  </si>
  <si>
    <t>Attendance %</t>
  </si>
  <si>
    <t>Academic Status</t>
  </si>
  <si>
    <t>Attendance Status</t>
  </si>
  <si>
    <t>Risk Category</t>
  </si>
  <si>
    <t>Attn (Green)</t>
  </si>
  <si>
    <t>Avg (Green)</t>
  </si>
  <si>
    <t>Attn (Yellow)</t>
  </si>
  <si>
    <t>Avg (Yellow)</t>
  </si>
  <si>
    <t>Attn (Red)</t>
  </si>
  <si>
    <t>Avg (Red)</t>
  </si>
  <si>
    <t>AttnLine_X</t>
  </si>
  <si>
    <t>AcademicLine_Y60</t>
  </si>
  <si>
    <t>AttnLine_X75</t>
  </si>
  <si>
    <t>AttendanceLine_Y</t>
  </si>
  <si>
    <t>STU1001</t>
  </si>
  <si>
    <t>STU1002</t>
  </si>
  <si>
    <t>STU1003</t>
  </si>
  <si>
    <t>STU1004</t>
  </si>
  <si>
    <t>STU1005</t>
  </si>
  <si>
    <t>STU1006</t>
  </si>
  <si>
    <t>STU1007</t>
  </si>
  <si>
    <t>STU1008</t>
  </si>
  <si>
    <t>STU1009</t>
  </si>
  <si>
    <t>STU1010</t>
  </si>
  <si>
    <t>STU1011</t>
  </si>
  <si>
    <t>STU1012</t>
  </si>
  <si>
    <t>STU1013</t>
  </si>
  <si>
    <t>STU1014</t>
  </si>
  <si>
    <t>STU1015</t>
  </si>
  <si>
    <t>STU1016</t>
  </si>
  <si>
    <t>STU1017</t>
  </si>
  <si>
    <t>STU1018</t>
  </si>
  <si>
    <t>STU1019</t>
  </si>
  <si>
    <t>STU1020</t>
  </si>
  <si>
    <t>STU1021</t>
  </si>
  <si>
    <t>STU1022</t>
  </si>
  <si>
    <t>STU1023</t>
  </si>
  <si>
    <t>STU1024</t>
  </si>
  <si>
    <t>STU1025</t>
  </si>
  <si>
    <t>STU1026</t>
  </si>
  <si>
    <t>STU1027</t>
  </si>
  <si>
    <t>STU1028</t>
  </si>
  <si>
    <t>STU1029</t>
  </si>
  <si>
    <t>STU1030</t>
  </si>
  <si>
    <t>STU1031</t>
  </si>
  <si>
    <t>STU1032</t>
  </si>
  <si>
    <t>STU1033</t>
  </si>
  <si>
    <t>STU1034</t>
  </si>
  <si>
    <t>STU1035</t>
  </si>
  <si>
    <t>STU1036</t>
  </si>
  <si>
    <t>STU1037</t>
  </si>
  <si>
    <t>STU1038</t>
  </si>
  <si>
    <t>STU1039</t>
  </si>
  <si>
    <t>STU1040</t>
  </si>
  <si>
    <t>SPSS Sample Dataset - Placeholder Data</t>
  </si>
  <si>
    <t>This is a SYNTHETIC/PLACEHOLDER dataset created to let you build and test your</t>
  </si>
  <si>
    <t>Excel + Orange Data Mining workflow before your real student data is available.</t>
  </si>
  <si>
    <t>Structure:</t>
  </si>
  <si>
    <t>Thresholds used (as defined in the project):</t>
  </si>
  <si>
    <t>- Academic Threshold: Average of Test 1-3 &lt; 60% =&gt; FAIL</t>
  </si>
  <si>
    <t>- Attendance Threshold: Attendance % &lt; 75% =&gt; FAIL</t>
  </si>
  <si>
    <t>Columns F (Average), H (Academic Status), I (Attendance Status), and J (Risk Category)</t>
  </si>
  <si>
    <t>are all LIVE FORMULAS - if you replace columns C:E and G with real data, everything</t>
  </si>
  <si>
    <t>recalculates automatically.</t>
  </si>
  <si>
    <t>TO REPLACE WITH REAL DATA:</t>
  </si>
  <si>
    <t>1. Keep the header row and column structure exactly as-is.</t>
  </si>
  <si>
    <t>2. Overwrite Student ID, Name, Test 1-3, and Attendance % with real values.</t>
  </si>
  <si>
    <t>3. Do not touch columns F, H, I, J - they will auto-update.</t>
  </si>
  <si>
    <t>4. Re-import the sheet into Orange Data Mining to refresh your decision tree.</t>
  </si>
  <si>
    <t>The Dashboard tab contains live KPI cards and charts built from this sheet - see</t>
  </si>
  <si>
    <t>columns L:U on this sheet for hidden chart-helper formulas (do not delete).</t>
  </si>
  <si>
    <t>Column1</t>
  </si>
  <si>
    <t xml:space="preserve">Weekly Risk Trend </t>
  </si>
  <si>
    <t>Ahmed Mohammed</t>
  </si>
  <si>
    <t>Khalid Abdullah</t>
  </si>
  <si>
    <t>Saud Ibrahim</t>
  </si>
  <si>
    <t>Mohammed Ali</t>
  </si>
  <si>
    <t>Fahad Saleh</t>
  </si>
  <si>
    <t>Abdullah Hassan</t>
  </si>
  <si>
    <t>Omar Khalid</t>
  </si>
  <si>
    <t>Yousef Ahmed</t>
  </si>
  <si>
    <t>Nasser Saad</t>
  </si>
  <si>
    <t>Turki Mohammed</t>
  </si>
  <si>
    <t>Abdulrahman Ali</t>
  </si>
  <si>
    <t>Sultan Fahad</t>
  </si>
  <si>
    <t>Majed Abdullah</t>
  </si>
  <si>
    <t>Badr Ibrahim</t>
  </si>
  <si>
    <t>Ziyad Hassan</t>
  </si>
  <si>
    <t>Waleed Saleh</t>
  </si>
  <si>
    <t>Sami Khalid</t>
  </si>
  <si>
    <t>Faisal Mohammed</t>
  </si>
  <si>
    <t>Sarah Mohammed</t>
  </si>
  <si>
    <t>Nora Khalid</t>
  </si>
  <si>
    <t>Reem Abdullah</t>
  </si>
  <si>
    <t>Huda Ahmed</t>
  </si>
  <si>
    <t>Lina Saleh</t>
  </si>
  <si>
    <t>Maha Ibrahim</t>
  </si>
  <si>
    <t>Amal Hassan</t>
  </si>
  <si>
    <t>Dana Mohammed</t>
  </si>
  <si>
    <t>Joud Khalid</t>
  </si>
  <si>
    <t>Lama Abdullah</t>
  </si>
  <si>
    <t>Shahad Ahmed</t>
  </si>
  <si>
    <t>Maryam Saleh</t>
  </si>
  <si>
    <t>Rana Ibrahim</t>
  </si>
  <si>
    <t>Abeer Hassan</t>
  </si>
  <si>
    <t>Haifa Mohammed</t>
  </si>
  <si>
    <t>Mona Khalid</t>
  </si>
  <si>
    <t>Noor Abdullah</t>
  </si>
  <si>
    <t>Arwa Ahmed</t>
  </si>
  <si>
    <t>Layan Saleh</t>
  </si>
  <si>
    <t>Ghada Ibrahim</t>
  </si>
  <si>
    <t>Rawan Ahmed</t>
  </si>
  <si>
    <t>Haneen Abdullah</t>
  </si>
  <si>
    <t>- 40 fictional students distributed across 3 risk categories:</t>
  </si>
  <si>
    <t xml:space="preserve">  RED (10 students), YELLOW (20 students), GREEN (10 students)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</si>
</sst>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0.0\%"/>
  </numFmts>
  <fonts count="30" x14ac:knownFonts="1">
    <font>
      <sz val="11"/>
      <color theme="1"/>
      <name val="Calibri"/>
      <family val="2"/>
      <charset val="1"/>
    </font>
    <font>
      <b/>
      <sz val="18"/>
      <color rgb="FFFFFFFF"/>
      <name val="Arial"/>
      <family val="2"/>
    </font>
    <font>
      <i/>
      <sz val="9"/>
      <color rgb="FFA6A6A6"/>
      <name val="Arial"/>
      <family val="2"/>
    </font>
    <font>
      <i/>
      <sz val="10"/>
      <color rgb="FF595959"/>
      <name val="Arial"/>
      <family val="2"/>
    </font>
    <font>
      <sz val="9"/>
      <color rgb="FFA6A6A6"/>
      <name val="Arial"/>
      <family val="2"/>
    </font>
    <font>
      <b/>
      <sz val="10"/>
      <color rgb="FFFFFFFF"/>
      <name val="Arial"/>
      <family val="2"/>
    </font>
    <font>
      <b/>
      <sz val="26"/>
      <color rgb="FF1F3864"/>
      <name val="Arial"/>
      <family val="2"/>
    </font>
    <font>
      <b/>
      <sz val="26"/>
      <color rgb="FFC00000"/>
      <name val="Arial"/>
      <family val="2"/>
    </font>
    <font>
      <b/>
      <sz val="26"/>
      <color rgb="FFBF8F00"/>
      <name val="Arial"/>
      <family val="2"/>
    </font>
    <font>
      <b/>
      <sz val="26"/>
      <color rgb="FF548235"/>
      <name val="Arial"/>
      <family val="2"/>
    </font>
    <font>
      <b/>
      <sz val="26"/>
      <color rgb="FF2F5597"/>
      <name val="Arial"/>
      <family val="2"/>
    </font>
    <font>
      <i/>
      <sz val="9"/>
      <color rgb="FF808080"/>
      <name val="Arial"/>
      <family val="2"/>
    </font>
    <font>
      <b/>
      <sz val="9"/>
      <color rgb="FF595959"/>
      <name val="Arial"/>
      <family val="2"/>
    </font>
    <font>
      <b/>
      <sz val="11"/>
      <color rgb="FF1F3864"/>
      <name val="Arial"/>
      <family val="2"/>
    </font>
    <font>
      <b/>
      <sz val="12"/>
      <color rgb="FF1F3864"/>
      <name val="Arial"/>
      <family val="2"/>
    </font>
    <font>
      <b/>
      <sz val="10"/>
      <color rgb="FFC00000"/>
      <name val="Arial"/>
      <family val="2"/>
    </font>
    <font>
      <sz val="10"/>
      <name val="Arial"/>
      <family val="2"/>
    </font>
    <font>
      <b/>
      <sz val="10"/>
      <color rgb="FFBF8F00"/>
      <name val="Arial"/>
      <family val="2"/>
    </font>
    <font>
      <b/>
      <sz val="10"/>
      <color rgb="FF548235"/>
      <name val="Arial"/>
      <family val="2"/>
    </font>
    <font>
      <sz val="10"/>
      <color rgb="FFC00000"/>
      <name val="Arial"/>
      <family val="2"/>
    </font>
    <font>
      <sz val="10"/>
      <color rgb="FFBF8F00"/>
      <name val="Arial"/>
      <family val="2"/>
    </font>
    <font>
      <sz val="10"/>
      <color rgb="FF548235"/>
      <name val="Arial"/>
      <family val="2"/>
    </font>
    <font>
      <b/>
      <sz val="11"/>
      <color rgb="FFFFFFFF"/>
      <name val="Arial"/>
      <family val="2"/>
    </font>
    <font>
      <b/>
      <i/>
      <sz val="9"/>
      <color rgb="FFA6A6A6"/>
      <name val="Arial"/>
      <family val="2"/>
    </font>
    <font>
      <sz val="9"/>
      <color rgb="FFD9D9D9"/>
      <name val="Arial"/>
      <family val="2"/>
    </font>
    <font>
      <i/>
      <sz val="8"/>
      <color rgb="FFA6A6A6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sz val="8"/>
      <name val="Calibri"/>
      <family val="2"/>
      <charset val="1"/>
    </font>
    <font>
      <sz val="10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00000"/>
        <bgColor rgb="FF9C0006"/>
      </patternFill>
    </fill>
    <fill>
      <patternFill patternType="solid">
        <fgColor rgb="FFBF8F00"/>
        <bgColor rgb="FF9C6500"/>
      </patternFill>
    </fill>
    <fill>
      <patternFill patternType="solid">
        <fgColor rgb="FF548235"/>
        <bgColor rgb="FF595959"/>
      </patternFill>
    </fill>
    <fill>
      <patternFill patternType="solid">
        <fgColor rgb="FF2F5597"/>
        <bgColor rgb="FF1F3864"/>
      </patternFill>
    </fill>
    <fill>
      <patternFill patternType="solid">
        <fgColor rgb="FFFFFFFF"/>
        <bgColor rgb="FFF9F9F9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/>
    <xf numFmtId="0" fontId="4" fillId="0" borderId="0" xfId="0" applyFont="1"/>
    <xf numFmtId="0" fontId="12" fillId="0" borderId="0" xfId="0" applyFont="1" applyAlignment="1">
      <alignment horizontal="right" vertical="center"/>
    </xf>
    <xf numFmtId="165" fontId="13" fillId="0" borderId="0" xfId="0" applyNumberFormat="1" applyFont="1" applyAlignment="1">
      <alignment horizontal="left" vertical="center"/>
    </xf>
    <xf numFmtId="166" fontId="13" fillId="0" borderId="0" xfId="0" applyNumberFormat="1" applyFont="1" applyAlignment="1">
      <alignment horizontal="left" vertical="center"/>
    </xf>
    <xf numFmtId="0" fontId="14" fillId="0" borderId="0" xfId="0" applyFont="1"/>
    <xf numFmtId="0" fontId="5" fillId="2" borderId="0" xfId="0" applyFont="1" applyFill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7" fillId="0" borderId="0" xfId="0" applyFont="1"/>
    <xf numFmtId="0" fontId="18" fillId="0" borderId="0" xfId="0" applyFont="1"/>
    <xf numFmtId="0" fontId="13" fillId="0" borderId="0" xfId="0" applyFont="1"/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6" borderId="0" xfId="0" applyFont="1" applyFill="1" applyAlignment="1">
      <alignment horizontal="center" vertical="center"/>
    </xf>
    <xf numFmtId="0" fontId="23" fillId="0" borderId="0" xfId="0" applyFont="1"/>
    <xf numFmtId="165" fontId="16" fillId="0" borderId="0" xfId="0" applyNumberFormat="1" applyFont="1" applyAlignment="1">
      <alignment horizontal="center"/>
    </xf>
    <xf numFmtId="166" fontId="16" fillId="0" borderId="0" xfId="0" applyNumberFormat="1" applyFont="1" applyAlignment="1">
      <alignment horizontal="center"/>
    </xf>
    <xf numFmtId="0" fontId="24" fillId="0" borderId="0" xfId="0" applyFont="1"/>
    <xf numFmtId="166" fontId="24" fillId="0" borderId="0" xfId="0" applyNumberFormat="1" applyFont="1"/>
    <xf numFmtId="165" fontId="24" fillId="0" borderId="0" xfId="0" applyNumberFormat="1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9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1" fontId="6" fillId="7" borderId="2" xfId="0" applyNumberFormat="1" applyFont="1" applyFill="1" applyBorder="1" applyAlignment="1">
      <alignment horizontal="center" vertical="center"/>
    </xf>
    <xf numFmtId="1" fontId="7" fillId="7" borderId="2" xfId="0" applyNumberFormat="1" applyFont="1" applyFill="1" applyBorder="1" applyAlignment="1">
      <alignment horizontal="center" vertical="center"/>
    </xf>
    <xf numFmtId="1" fontId="8" fillId="7" borderId="2" xfId="0" applyNumberFormat="1" applyFont="1" applyFill="1" applyBorder="1" applyAlignment="1">
      <alignment horizontal="center" vertical="center"/>
    </xf>
    <xf numFmtId="1" fontId="9" fillId="7" borderId="2" xfId="0" applyNumberFormat="1" applyFont="1" applyFill="1" applyBorder="1" applyAlignment="1">
      <alignment horizontal="center" vertical="center"/>
    </xf>
    <xf numFmtId="164" fontId="10" fillId="7" borderId="2" xfId="0" applyNumberFormat="1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/>
    </xf>
  </cellXfs>
  <cellStyles count="1">
    <cellStyle name="عادي" xfId="0" builtinId="0"/>
  </cellStyles>
  <dxfs count="20"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  <dxf>
      <font>
        <b/>
        <sz val="10"/>
        <color rgb="FF9C6500"/>
        <name val="Arial"/>
        <charset val="1"/>
      </font>
      <fill>
        <patternFill>
          <bgColor rgb="FFFFEB9C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D9D9D9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D9D9D9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D9D9D9"/>
        <name val="Arial"/>
        <charset val="1"/>
        <scheme val="none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D9D9D9"/>
        <name val="Arial"/>
        <charset val="1"/>
        <scheme val="none"/>
      </font>
      <numFmt numFmtId="166" formatCode="0.0\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D9D9D9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D9D9D9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6" formatCode="0.0\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9"/>
        <color rgb="FFA6A6A6"/>
        <name val="Arial"/>
        <charset val="1"/>
        <scheme val="none"/>
      </font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A6A6A6"/>
      <rgbColor rgb="FF808080"/>
      <rgbColor rgb="FF9999FF"/>
      <rgbColor rgb="FF993366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F81BD"/>
      <rgbColor rgb="FF33CCCC"/>
      <rgbColor rgb="FF99CC00"/>
      <rgbColor rgb="FFFFCC00"/>
      <rgbColor rgb="FFBF8F00"/>
      <rgbColor rgb="FFFF6600"/>
      <rgbColor rgb="FF595959"/>
      <rgbColor rgb="FF878787"/>
      <rgbColor rgb="FF1F3864"/>
      <rgbColor rgb="FF548235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Students by Risk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Dashboard!$B$14</c:f>
              <c:strCache>
                <c:ptCount val="1"/>
                <c:pt idx="0">
                  <c:v>Students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BC54-4308-A0E6-7BFBE962F0F0}"/>
              </c:ext>
            </c:extLst>
          </c:dPt>
          <c:dPt>
            <c:idx val="1"/>
            <c:invertIfNegative val="0"/>
            <c:bubble3D val="0"/>
            <c:spPr>
              <a:solidFill>
                <a:srgbClr val="BF8F0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BC54-4308-A0E6-7BFBE962F0F0}"/>
              </c:ext>
            </c:extLst>
          </c:dPt>
          <c:dPt>
            <c:idx val="2"/>
            <c:invertIfNegative val="0"/>
            <c:bubble3D val="0"/>
            <c:spPr>
              <a:solidFill>
                <a:srgbClr val="548235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BC54-4308-A0E6-7BFBE962F0F0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C54-4308-A0E6-7BFBE962F0F0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C54-4308-A0E6-7BFBE962F0F0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C54-4308-A0E6-7BFBE962F0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Dashboard!$A$15:$A$17</c:f>
              <c:strCache>
                <c:ptCount val="3"/>
                <c:pt idx="0">
                  <c:v>RED - Dual Risk</c:v>
                </c:pt>
                <c:pt idx="1">
                  <c:v>YELLOW - Single Risk</c:v>
                </c:pt>
                <c:pt idx="2">
                  <c:v>GREEN - Satisfactory</c:v>
                </c:pt>
              </c:strCache>
            </c:strRef>
          </c:cat>
          <c:val>
            <c:numRef>
              <c:f>Dashboard!$B$15:$B$17</c:f>
              <c:numCache>
                <c:formatCode>General</c:formatCode>
                <c:ptCount val="3"/>
                <c:pt idx="0">
                  <c:v>10</c:v>
                </c:pt>
                <c:pt idx="1">
                  <c:v>20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C54-4308-A0E6-7BFBE962F0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132973"/>
        <c:axId val="76102018"/>
      </c:barChart>
      <c:catAx>
        <c:axId val="511329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6102018"/>
        <c:crosses val="autoZero"/>
        <c:auto val="1"/>
        <c:lblAlgn val="ctr"/>
        <c:lblOffset val="100"/>
        <c:noMultiLvlLbl val="0"/>
      </c:catAx>
      <c:valAx>
        <c:axId val="7610201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Number of Students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113297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Risk Category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Dashboard!$B$14</c:f>
              <c:strCache>
                <c:ptCount val="1"/>
                <c:pt idx="0">
                  <c:v>Students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C0000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9EFB-4374-859D-D5A965AED97E}"/>
              </c:ext>
            </c:extLst>
          </c:dPt>
          <c:dPt>
            <c:idx val="1"/>
            <c:bubble3D val="0"/>
            <c:spPr>
              <a:solidFill>
                <a:srgbClr val="BF8F0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9EFB-4374-859D-D5A965AED97E}"/>
              </c:ext>
            </c:extLst>
          </c:dPt>
          <c:dPt>
            <c:idx val="2"/>
            <c:bubble3D val="0"/>
            <c:spPr>
              <a:solidFill>
                <a:srgbClr val="548235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9EFB-4374-859D-D5A965AED97E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EFB-4374-859D-D5A965AED97E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EFB-4374-859D-D5A965AED97E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EFB-4374-859D-D5A965AED9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Dashboard!$A$15:$A$17</c:f>
              <c:strCache>
                <c:ptCount val="3"/>
                <c:pt idx="0">
                  <c:v>RED - Dual Risk</c:v>
                </c:pt>
                <c:pt idx="1">
                  <c:v>YELLOW - Single Risk</c:v>
                </c:pt>
                <c:pt idx="2">
                  <c:v>GREEN - Satisfactory</c:v>
                </c:pt>
              </c:strCache>
            </c:strRef>
          </c:cat>
          <c:val>
            <c:numRef>
              <c:f>Dashboard!$B$15:$B$17</c:f>
              <c:numCache>
                <c:formatCode>General</c:formatCode>
                <c:ptCount val="3"/>
                <c:pt idx="0">
                  <c:v>10</c:v>
                </c:pt>
                <c:pt idx="1">
                  <c:v>20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EFB-4374-859D-D5A965AED9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noFill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Risk Matrix: Class Average vs. Attendance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'Student Data'!$M$1</c:f>
              <c:strCache>
                <c:ptCount val="1"/>
                <c:pt idx="0">
                  <c:v>Avg (Green)</c:v>
                </c:pt>
              </c:strCache>
            </c:strRef>
          </c:tx>
          <c:spPr>
            <a:ln w="47520">
              <a:noFill/>
            </a:ln>
          </c:spPr>
          <c:marker>
            <c:symbol val="circle"/>
            <c:size val="6"/>
            <c:spPr>
              <a:solidFill>
                <a:srgbClr val="54823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strRef>
              <c:f>'Student Data'!$L$2:$L$43</c:f>
              <c:strCache>
                <c:ptCount val="31"/>
                <c:pt idx="3">
                  <c:v>92٫2%</c:v>
                </c:pt>
                <c:pt idx="6">
                  <c:v>84٫2%</c:v>
                </c:pt>
                <c:pt idx="9">
                  <c:v>81٫1%</c:v>
                </c:pt>
                <c:pt idx="15">
                  <c:v>84٫3%</c:v>
                </c:pt>
                <c:pt idx="16">
                  <c:v>78٫1%</c:v>
                </c:pt>
                <c:pt idx="21">
                  <c:v>86٫0%</c:v>
                </c:pt>
                <c:pt idx="22">
                  <c:v>98٫4%</c:v>
                </c:pt>
                <c:pt idx="26">
                  <c:v>87٫2%</c:v>
                </c:pt>
                <c:pt idx="27">
                  <c:v>81٫5%</c:v>
                </c:pt>
                <c:pt idx="30">
                  <c:v>79٫8%</c:v>
                </c:pt>
              </c:strCache>
            </c:strRef>
          </c:xVal>
          <c:yVal>
            <c:numRef>
              <c:f>'Student Data'!$M$2:$M$43</c:f>
              <c:numCache>
                <c:formatCode>General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0.0">
                  <c:v>84.7</c:v>
                </c:pt>
                <c:pt idx="4">
                  <c:v>0</c:v>
                </c:pt>
                <c:pt idx="5">
                  <c:v>0</c:v>
                </c:pt>
                <c:pt idx="6" formatCode="0.0">
                  <c:v>79.7</c:v>
                </c:pt>
                <c:pt idx="7">
                  <c:v>0</c:v>
                </c:pt>
                <c:pt idx="8">
                  <c:v>0</c:v>
                </c:pt>
                <c:pt idx="9" formatCode="0.0">
                  <c:v>86.3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 formatCode="0.0">
                  <c:v>90.7</c:v>
                </c:pt>
                <c:pt idx="16" formatCode="0.0">
                  <c:v>84.7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 formatCode="0.0">
                  <c:v>76.3</c:v>
                </c:pt>
                <c:pt idx="22" formatCode="0.0">
                  <c:v>76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">
                  <c:v>78.7</c:v>
                </c:pt>
                <c:pt idx="27" formatCode="0.0">
                  <c:v>77.3</c:v>
                </c:pt>
                <c:pt idx="28">
                  <c:v>0</c:v>
                </c:pt>
                <c:pt idx="29">
                  <c:v>0</c:v>
                </c:pt>
                <c:pt idx="30" formatCode="0.0">
                  <c:v>85.3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732-4FEE-8955-EBEA10001A46}"/>
            </c:ext>
          </c:extLst>
        </c:ser>
        <c:ser>
          <c:idx val="1"/>
          <c:order val="1"/>
          <c:tx>
            <c:strRef>
              <c:f>'Student Data'!$O$1</c:f>
              <c:strCache>
                <c:ptCount val="1"/>
                <c:pt idx="0">
                  <c:v>Avg (Yellow)</c:v>
                </c:pt>
              </c:strCache>
            </c:strRef>
          </c:tx>
          <c:spPr>
            <a:ln w="47520">
              <a:noFill/>
            </a:ln>
          </c:spPr>
          <c:marker>
            <c:symbol val="circle"/>
            <c:size val="6"/>
            <c:spPr>
              <a:solidFill>
                <a:srgbClr val="BF8F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strRef>
              <c:f>'Student Data'!$N$2:$N$43</c:f>
              <c:strCache>
                <c:ptCount val="38"/>
                <c:pt idx="2">
                  <c:v>82٫4%</c:v>
                </c:pt>
                <c:pt idx="4">
                  <c:v>73٫6%</c:v>
                </c:pt>
                <c:pt idx="5">
                  <c:v>56٫7%</c:v>
                </c:pt>
                <c:pt idx="7">
                  <c:v>90٫0%</c:v>
                </c:pt>
                <c:pt idx="10">
                  <c:v>69٫7%</c:v>
                </c:pt>
                <c:pt idx="11">
                  <c:v>51٫6%</c:v>
                </c:pt>
                <c:pt idx="12">
                  <c:v>59٫5%</c:v>
                </c:pt>
                <c:pt idx="13">
                  <c:v>79٫1%</c:v>
                </c:pt>
                <c:pt idx="14">
                  <c:v>92٫4%</c:v>
                </c:pt>
                <c:pt idx="17">
                  <c:v>65٫1%</c:v>
                </c:pt>
                <c:pt idx="18">
                  <c:v>84٫5%</c:v>
                </c:pt>
                <c:pt idx="19">
                  <c:v>73٫3%</c:v>
                </c:pt>
                <c:pt idx="20">
                  <c:v>68٫0%</c:v>
                </c:pt>
                <c:pt idx="23">
                  <c:v>70٫9%</c:v>
                </c:pt>
                <c:pt idx="24">
                  <c:v>80٫4%</c:v>
                </c:pt>
                <c:pt idx="25">
                  <c:v>97٫0%</c:v>
                </c:pt>
                <c:pt idx="31">
                  <c:v>72٫3%</c:v>
                </c:pt>
                <c:pt idx="35">
                  <c:v>88٫9%</c:v>
                </c:pt>
                <c:pt idx="36">
                  <c:v>76٫2%</c:v>
                </c:pt>
                <c:pt idx="37">
                  <c:v>95٫9%</c:v>
                </c:pt>
              </c:strCache>
            </c:strRef>
          </c:xVal>
          <c:yVal>
            <c:numRef>
              <c:f>'Student Data'!$O$2:$O$43</c:f>
              <c:numCache>
                <c:formatCode>General</c:formatCode>
                <c:ptCount val="42"/>
                <c:pt idx="0">
                  <c:v>0</c:v>
                </c:pt>
                <c:pt idx="1">
                  <c:v>0</c:v>
                </c:pt>
                <c:pt idx="2" formatCode="0.0">
                  <c:v>50.3</c:v>
                </c:pt>
                <c:pt idx="3">
                  <c:v>0</c:v>
                </c:pt>
                <c:pt idx="4" formatCode="0.0">
                  <c:v>72.3</c:v>
                </c:pt>
                <c:pt idx="5" formatCode="0.0">
                  <c:v>75.7</c:v>
                </c:pt>
                <c:pt idx="6">
                  <c:v>0</c:v>
                </c:pt>
                <c:pt idx="7" formatCode="0.0">
                  <c:v>49.7</c:v>
                </c:pt>
                <c:pt idx="8">
                  <c:v>0</c:v>
                </c:pt>
                <c:pt idx="9">
                  <c:v>0</c:v>
                </c:pt>
                <c:pt idx="10" formatCode="0.0">
                  <c:v>73.3</c:v>
                </c:pt>
                <c:pt idx="11" formatCode="0.0">
                  <c:v>81.7</c:v>
                </c:pt>
                <c:pt idx="12" formatCode="0.0">
                  <c:v>82.3</c:v>
                </c:pt>
                <c:pt idx="13" formatCode="0.0">
                  <c:v>48.7</c:v>
                </c:pt>
                <c:pt idx="14" formatCode="0.0">
                  <c:v>54</c:v>
                </c:pt>
                <c:pt idx="15">
                  <c:v>0</c:v>
                </c:pt>
                <c:pt idx="16">
                  <c:v>0</c:v>
                </c:pt>
                <c:pt idx="17" formatCode="0.0">
                  <c:v>67.3</c:v>
                </c:pt>
                <c:pt idx="18" formatCode="0.0">
                  <c:v>51.3</c:v>
                </c:pt>
                <c:pt idx="19" formatCode="0.0">
                  <c:v>87</c:v>
                </c:pt>
                <c:pt idx="20" formatCode="0.0">
                  <c:v>74.7</c:v>
                </c:pt>
                <c:pt idx="21">
                  <c:v>0</c:v>
                </c:pt>
                <c:pt idx="22">
                  <c:v>0</c:v>
                </c:pt>
                <c:pt idx="23" formatCode="0.0">
                  <c:v>77.3</c:v>
                </c:pt>
                <c:pt idx="24" formatCode="0.0">
                  <c:v>54.7</c:v>
                </c:pt>
                <c:pt idx="25" formatCode="0.0">
                  <c:v>51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 formatCode="0.0">
                  <c:v>85.3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 formatCode="0.0">
                  <c:v>44</c:v>
                </c:pt>
                <c:pt idx="36" formatCode="0.0">
                  <c:v>50.7</c:v>
                </c:pt>
                <c:pt idx="37" formatCode="0.0">
                  <c:v>43.3</c:v>
                </c:pt>
                <c:pt idx="38">
                  <c:v>0</c:v>
                </c:pt>
                <c:pt idx="3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732-4FEE-8955-EBEA10001A46}"/>
            </c:ext>
          </c:extLst>
        </c:ser>
        <c:ser>
          <c:idx val="2"/>
          <c:order val="2"/>
          <c:tx>
            <c:strRef>
              <c:f>'Student Data'!$Q$1</c:f>
              <c:strCache>
                <c:ptCount val="1"/>
                <c:pt idx="0">
                  <c:v>Avg (Red)</c:v>
                </c:pt>
              </c:strCache>
            </c:strRef>
          </c:tx>
          <c:spPr>
            <a:ln w="47520">
              <a:noFill/>
            </a:ln>
          </c:spPr>
          <c:marker>
            <c:symbol val="circle"/>
            <c:size val="6"/>
            <c:spPr>
              <a:solidFill>
                <a:srgbClr val="C0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strRef>
              <c:f>'Student Data'!$P$2:$P$43</c:f>
              <c:strCache>
                <c:ptCount val="40"/>
                <c:pt idx="0">
                  <c:v>56٫3%</c:v>
                </c:pt>
                <c:pt idx="1">
                  <c:v>62٫9%</c:v>
                </c:pt>
                <c:pt idx="8">
                  <c:v>53٫9%</c:v>
                </c:pt>
                <c:pt idx="28">
                  <c:v>52٫1%</c:v>
                </c:pt>
                <c:pt idx="29">
                  <c:v>68٫4%</c:v>
                </c:pt>
                <c:pt idx="32">
                  <c:v>67٫1%</c:v>
                </c:pt>
                <c:pt idx="33">
                  <c:v>59٫0%</c:v>
                </c:pt>
                <c:pt idx="34">
                  <c:v>55٫9%</c:v>
                </c:pt>
                <c:pt idx="38">
                  <c:v>55٫7%</c:v>
                </c:pt>
                <c:pt idx="39">
                  <c:v>62٫9%</c:v>
                </c:pt>
              </c:strCache>
            </c:strRef>
          </c:xVal>
          <c:yVal>
            <c:numRef>
              <c:f>'Student Data'!$Q$2:$Q$43</c:f>
              <c:numCache>
                <c:formatCode>0.0</c:formatCode>
                <c:ptCount val="42"/>
                <c:pt idx="0">
                  <c:v>48.7</c:v>
                </c:pt>
                <c:pt idx="1">
                  <c:v>47.7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  <c:pt idx="8">
                  <c:v>50.7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  <c:pt idx="12" formatCode="General">
                  <c:v>0</c:v>
                </c:pt>
                <c:pt idx="13" formatCode="General">
                  <c:v>0</c:v>
                </c:pt>
                <c:pt idx="14" formatCode="General">
                  <c:v>0</c:v>
                </c:pt>
                <c:pt idx="15" formatCode="General">
                  <c:v>0</c:v>
                </c:pt>
                <c:pt idx="16" formatCode="General">
                  <c:v>0</c:v>
                </c:pt>
                <c:pt idx="17" formatCode="General">
                  <c:v>0</c:v>
                </c:pt>
                <c:pt idx="18" formatCode="General">
                  <c:v>0</c:v>
                </c:pt>
                <c:pt idx="19" formatCode="General">
                  <c:v>0</c:v>
                </c:pt>
                <c:pt idx="20" formatCode="General">
                  <c:v>0</c:v>
                </c:pt>
                <c:pt idx="21" formatCode="General">
                  <c:v>0</c:v>
                </c:pt>
                <c:pt idx="22" formatCode="General">
                  <c:v>0</c:v>
                </c:pt>
                <c:pt idx="23" formatCode="General">
                  <c:v>0</c:v>
                </c:pt>
                <c:pt idx="24" formatCode="General">
                  <c:v>0</c:v>
                </c:pt>
                <c:pt idx="25" formatCode="General">
                  <c:v>0</c:v>
                </c:pt>
                <c:pt idx="26" formatCode="General">
                  <c:v>0</c:v>
                </c:pt>
                <c:pt idx="27" formatCode="General">
                  <c:v>0</c:v>
                </c:pt>
                <c:pt idx="28">
                  <c:v>44</c:v>
                </c:pt>
                <c:pt idx="29">
                  <c:v>46.3</c:v>
                </c:pt>
                <c:pt idx="30" formatCode="General">
                  <c:v>0</c:v>
                </c:pt>
                <c:pt idx="31" formatCode="General">
                  <c:v>0</c:v>
                </c:pt>
                <c:pt idx="32">
                  <c:v>52</c:v>
                </c:pt>
                <c:pt idx="33">
                  <c:v>52.7</c:v>
                </c:pt>
                <c:pt idx="34">
                  <c:v>46</c:v>
                </c:pt>
                <c:pt idx="35" formatCode="General">
                  <c:v>0</c:v>
                </c:pt>
                <c:pt idx="36" formatCode="General">
                  <c:v>0</c:v>
                </c:pt>
                <c:pt idx="37" formatCode="General">
                  <c:v>0</c:v>
                </c:pt>
                <c:pt idx="38">
                  <c:v>44.3</c:v>
                </c:pt>
                <c:pt idx="39">
                  <c:v>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732-4FEE-8955-EBEA10001A46}"/>
            </c:ext>
          </c:extLst>
        </c:ser>
        <c:ser>
          <c:idx val="3"/>
          <c:order val="3"/>
          <c:tx>
            <c:v>Academic Threshold (60)</c:v>
          </c:tx>
          <c:spPr>
            <a:ln w="12600">
              <a:solidFill>
                <a:srgbClr val="80808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'Student Data'!$S$2:$S$3</c:f>
              <c:numCache>
                <c:formatCode>General</c:formatCode>
                <c:ptCount val="2"/>
                <c:pt idx="0">
                  <c:v>60</c:v>
                </c:pt>
                <c:pt idx="1">
                  <c:v>60</c:v>
                </c:pt>
              </c:numCache>
            </c:numRef>
          </c:xVal>
          <c:yVal>
            <c:numRef>
              <c:f>'Student Data'!$S$2:$S$3</c:f>
              <c:numCache>
                <c:formatCode>General</c:formatCode>
                <c:ptCount val="2"/>
                <c:pt idx="0">
                  <c:v>60</c:v>
                </c:pt>
                <c:pt idx="1">
                  <c:v>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732-4FEE-8955-EBEA10001A46}"/>
            </c:ext>
          </c:extLst>
        </c:ser>
        <c:ser>
          <c:idx val="4"/>
          <c:order val="4"/>
          <c:tx>
            <c:v>Attendance Threshold (75)</c:v>
          </c:tx>
          <c:spPr>
            <a:ln w="12600">
              <a:solidFill>
                <a:srgbClr val="80808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'Student Data'!$T$2:$T$3</c:f>
              <c:numCache>
                <c:formatCode>General</c:formatCode>
                <c:ptCount val="2"/>
                <c:pt idx="0">
                  <c:v>75</c:v>
                </c:pt>
                <c:pt idx="1">
                  <c:v>75</c:v>
                </c:pt>
              </c:numCache>
            </c:numRef>
          </c:xVal>
          <c:yVal>
            <c:numRef>
              <c:f>'Student Data'!$U$2:$U$3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732-4FEE-8955-EBEA10001A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352320"/>
        <c:axId val="41669587"/>
      </c:scatterChart>
      <c:valAx>
        <c:axId val="27352320"/>
        <c:scaling>
          <c:orientation val="minMax"/>
          <c:max val="100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Attendance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\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669587"/>
        <c:crosses val="autoZero"/>
        <c:crossBetween val="midCat"/>
      </c:valAx>
      <c:valAx>
        <c:axId val="41669587"/>
        <c:scaling>
          <c:orientation val="minMax"/>
          <c:max val="10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Class Average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352320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noFill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Weekly Risk Trend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Dashboard!$E$14</c:f>
              <c:strCache>
                <c:ptCount val="1"/>
                <c:pt idx="0">
                  <c:v>Red</c:v>
                </c:pt>
              </c:strCache>
            </c:strRef>
          </c:tx>
          <c:spPr>
            <a:ln w="21960">
              <a:solidFill>
                <a:srgbClr val="C00000"/>
              </a:solidFill>
              <a:round/>
            </a:ln>
          </c:spPr>
          <c:marker>
            <c:symbol val="circle"/>
            <c:size val="6"/>
            <c:spPr>
              <a:solidFill>
                <a:srgbClr val="C0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Dashboard!$D$15:$D$20</c:f>
              <c:strCache>
                <c:ptCount val="6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</c:strCache>
            </c:strRef>
          </c:cat>
          <c:val>
            <c:numRef>
              <c:f>Dashboard!$E$15:$E$20</c:f>
              <c:numCache>
                <c:formatCode>General</c:formatCode>
                <c:ptCount val="6"/>
                <c:pt idx="0">
                  <c:v>4</c:v>
                </c:pt>
                <c:pt idx="1">
                  <c:v>5</c:v>
                </c:pt>
                <c:pt idx="2">
                  <c:v>7</c:v>
                </c:pt>
                <c:pt idx="3">
                  <c:v>9</c:v>
                </c:pt>
                <c:pt idx="4">
                  <c:v>8</c:v>
                </c:pt>
                <c:pt idx="5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E2-471D-BF5D-E433EC34D5DA}"/>
            </c:ext>
          </c:extLst>
        </c:ser>
        <c:ser>
          <c:idx val="1"/>
          <c:order val="1"/>
          <c:tx>
            <c:strRef>
              <c:f>Dashboard!$F$14</c:f>
              <c:strCache>
                <c:ptCount val="1"/>
                <c:pt idx="0">
                  <c:v>Yellow</c:v>
                </c:pt>
              </c:strCache>
            </c:strRef>
          </c:tx>
          <c:spPr>
            <a:ln w="21960">
              <a:solidFill>
                <a:srgbClr val="BF8F00"/>
              </a:solidFill>
              <a:round/>
            </a:ln>
          </c:spPr>
          <c:marker>
            <c:symbol val="circle"/>
            <c:size val="6"/>
            <c:spPr>
              <a:solidFill>
                <a:srgbClr val="BF8F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Dashboard!$D$15:$D$20</c:f>
              <c:strCache>
                <c:ptCount val="6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</c:strCache>
            </c:strRef>
          </c:cat>
          <c:val>
            <c:numRef>
              <c:f>Dashboard!$F$15:$F$20</c:f>
              <c:numCache>
                <c:formatCode>General</c:formatCode>
                <c:ptCount val="6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E2-471D-BF5D-E433EC34D5DA}"/>
            </c:ext>
          </c:extLst>
        </c:ser>
        <c:ser>
          <c:idx val="2"/>
          <c:order val="2"/>
          <c:tx>
            <c:strRef>
              <c:f>Dashboard!$G$14</c:f>
              <c:strCache>
                <c:ptCount val="1"/>
                <c:pt idx="0">
                  <c:v>Green</c:v>
                </c:pt>
              </c:strCache>
            </c:strRef>
          </c:tx>
          <c:spPr>
            <a:ln w="21960">
              <a:solidFill>
                <a:srgbClr val="548235"/>
              </a:solidFill>
              <a:round/>
            </a:ln>
          </c:spPr>
          <c:marker>
            <c:symbol val="circle"/>
            <c:size val="6"/>
            <c:spPr>
              <a:solidFill>
                <a:srgbClr val="54823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Dashboard!$D$15:$D$20</c:f>
              <c:strCache>
                <c:ptCount val="6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</c:strCache>
            </c:strRef>
          </c:cat>
          <c:val>
            <c:numRef>
              <c:f>Dashboard!$G$15:$G$20</c:f>
              <c:numCache>
                <c:formatCode>General</c:formatCode>
                <c:ptCount val="6"/>
                <c:pt idx="0">
                  <c:v>27</c:v>
                </c:pt>
                <c:pt idx="1">
                  <c:v>25</c:v>
                </c:pt>
                <c:pt idx="2">
                  <c:v>22</c:v>
                </c:pt>
                <c:pt idx="3">
                  <c:v>21</c:v>
                </c:pt>
                <c:pt idx="4">
                  <c:v>23</c:v>
                </c:pt>
                <c:pt idx="5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E2-471D-BF5D-E433EC34D5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5826865"/>
        <c:axId val="80387131"/>
      </c:lineChart>
      <c:catAx>
        <c:axId val="8582686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0387131"/>
        <c:crosses val="autoZero"/>
        <c:auto val="1"/>
        <c:lblAlgn val="ctr"/>
        <c:lblOffset val="100"/>
        <c:noMultiLvlLbl val="0"/>
      </c:catAx>
      <c:valAx>
        <c:axId val="803871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Number of Students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82686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noFill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21</xdr:row>
      <xdr:rowOff>7620</xdr:rowOff>
    </xdr:from>
    <xdr:to>
      <xdr:col>3</xdr:col>
      <xdr:colOff>502920</xdr:colOff>
      <xdr:row>32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34</xdr:row>
      <xdr:rowOff>22860</xdr:rowOff>
    </xdr:from>
    <xdr:to>
      <xdr:col>4</xdr:col>
      <xdr:colOff>100020</xdr:colOff>
      <xdr:row>47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99060</xdr:colOff>
      <xdr:row>21</xdr:row>
      <xdr:rowOff>15240</xdr:rowOff>
    </xdr:from>
    <xdr:to>
      <xdr:col>13</xdr:col>
      <xdr:colOff>190500</xdr:colOff>
      <xdr:row>32</xdr:row>
      <xdr:rowOff>137160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190500</xdr:colOff>
      <xdr:row>33</xdr:row>
      <xdr:rowOff>76200</xdr:rowOff>
    </xdr:from>
    <xdr:to>
      <xdr:col>12</xdr:col>
      <xdr:colOff>724800</xdr:colOff>
      <xdr:row>48</xdr:row>
      <xdr:rowOff>167640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71C492-2B49-4E34-8633-039E40797257}" name="Table1" displayName="Table1" ref="A1:U41" totalsRowShown="0" headerRowDxfId="19">
  <autoFilter ref="A1:U41" xr:uid="{0471C492-2B49-4E34-8633-039E40797257}"/>
  <tableColumns count="21">
    <tableColumn id="1" xr3:uid="{C609D982-0FF1-4636-BE62-7A4277A17704}" name="Student ID" dataDxfId="18"/>
    <tableColumn id="2" xr3:uid="{C4856892-C900-4B37-B98B-1E5F5CFE7DD4}" name="Name" dataDxfId="17"/>
    <tableColumn id="3" xr3:uid="{1C8D9A67-14AE-4290-BC5D-7700B9C99E66}" name="Test 1" dataDxfId="16"/>
    <tableColumn id="4" xr3:uid="{E06F4E46-70D3-4942-802E-F8E009985D05}" name="Test 2" dataDxfId="15"/>
    <tableColumn id="5" xr3:uid="{3612BB37-905B-41F3-885C-8BE9593A4B4E}" name="Test 3" dataDxfId="14"/>
    <tableColumn id="6" xr3:uid="{8088215E-C1E3-4276-8E6B-CB557AF551FA}" name="Average" dataDxfId="13">
      <calculatedColumnFormula>ROUND(AVERAGE(C2:E2),1)</calculatedColumnFormula>
    </tableColumn>
    <tableColumn id="7" xr3:uid="{D688DEAF-FD5B-48A4-BE4D-EFF087E047F7}" name="Attendance %" dataDxfId="12"/>
    <tableColumn id="8" xr3:uid="{55BCE785-43C2-4FF9-955F-B0827EAAB1A4}" name="Academic Status" dataDxfId="11">
      <calculatedColumnFormula>IF(F2&lt;60,"FAIL","PASS")</calculatedColumnFormula>
    </tableColumn>
    <tableColumn id="9" xr3:uid="{27EF9F5C-E441-4681-ABDD-B1B9B022F347}" name="Attendance Status" dataDxfId="10">
      <calculatedColumnFormula>IF(G2&lt;75,"FAIL","PASS")</calculatedColumnFormula>
    </tableColumn>
    <tableColumn id="10" xr3:uid="{7633FCD6-5A02-4E88-BA52-98424D0C0C8F}" name="Risk Category" dataDxfId="9">
      <calculatedColumnFormula>IF(AND(H2="FAIL",I2="FAIL"),"RED - Dual Risk",IF(OR(H2="FAIL",I2="FAIL"),"YELLOW - Single Risk","GREEN - Satisfactory"))</calculatedColumnFormula>
    </tableColumn>
    <tableColumn id="11" xr3:uid="{0E14D914-40DA-43FA-B564-1F3C424BD4F3}" name="Column1"/>
    <tableColumn id="12" xr3:uid="{3578749C-4592-42E8-84C6-9EC16263B5C2}" name="Attn (Green)" dataDxfId="8">
      <calculatedColumnFormula>IF(J2="GREEN - Satisfactory",G2,"")</calculatedColumnFormula>
    </tableColumn>
    <tableColumn id="13" xr3:uid="{97F6FB84-6DB3-4CDC-9365-7888C7F0968C}" name="Avg (Green)" dataDxfId="7">
      <calculatedColumnFormula>IF(J2="GREEN - Satisfactory",F2,"")</calculatedColumnFormula>
    </tableColumn>
    <tableColumn id="14" xr3:uid="{05BB641D-45A0-4F05-BD91-5406B37466CE}" name="Attn (Yellow)" dataDxfId="6">
      <calculatedColumnFormula>IF(J2="YELLOW - Single Risk",G2,"")</calculatedColumnFormula>
    </tableColumn>
    <tableColumn id="15" xr3:uid="{032CED30-8FFB-4376-91FF-E90F54F13E50}" name="Avg (Yellow)" dataDxfId="5">
      <calculatedColumnFormula>IF(J2="YELLOW - Single Risk",F2,"")</calculatedColumnFormula>
    </tableColumn>
    <tableColumn id="16" xr3:uid="{3EF7A40C-BE44-4B68-A24F-682FBB3D12BF}" name="Attn (Red)" dataDxfId="4">
      <calculatedColumnFormula>IF(J2="RED - Dual Risk",G2,"")</calculatedColumnFormula>
    </tableColumn>
    <tableColumn id="17" xr3:uid="{57EA4195-FC04-499D-BC5C-3B4EF5EB6998}" name="Avg (Red)" dataDxfId="3">
      <calculatedColumnFormula>IF(J2="RED - Dual Risk",F2,"")</calculatedColumnFormula>
    </tableColumn>
    <tableColumn id="18" xr3:uid="{A8C80ED2-5B3E-4C33-8FCC-0EF99047177E}" name="AttnLine_X"/>
    <tableColumn id="19" xr3:uid="{09A2F87C-9876-4CCF-9EF6-D3A68D5F0CE4}" name="AcademicLine_Y60"/>
    <tableColumn id="20" xr3:uid="{88B210C6-7714-4D4C-A8C7-D0836413A3DD}" name="AttnLine_X75"/>
    <tableColumn id="21" xr3:uid="{BBFF335B-7B97-4F2A-8C80-C5E0FFDBAA36}" name="AttendanceLine_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3"/>
  <sheetViews>
    <sheetView zoomScaleNormal="100" workbookViewId="0">
      <pane ySplit="1" topLeftCell="A23" activePane="bottomLeft" state="frozen"/>
      <selection pane="bottomLeft" activeCell="B42" sqref="B42"/>
    </sheetView>
  </sheetViews>
  <sheetFormatPr baseColWidth="10" defaultColWidth="8.6640625" defaultRowHeight="15" x14ac:dyDescent="0.2"/>
  <cols>
    <col min="1" max="1" width="12" customWidth="1"/>
    <col min="2" max="2" width="18" customWidth="1"/>
    <col min="3" max="6" width="11.5" customWidth="1"/>
    <col min="7" max="7" width="13" customWidth="1"/>
    <col min="8" max="8" width="15" customWidth="1"/>
    <col min="9" max="9" width="16" customWidth="1"/>
    <col min="10" max="10" width="20" customWidth="1"/>
    <col min="11" max="11" width="11.5" customWidth="1"/>
    <col min="12" max="21" width="11.1640625" customWidth="1"/>
  </cols>
  <sheetData>
    <row r="1" spans="1:21" x14ac:dyDescent="0.2">
      <c r="A1" s="16" t="s">
        <v>38</v>
      </c>
      <c r="B1" s="16" t="s">
        <v>39</v>
      </c>
      <c r="C1" s="16" t="s">
        <v>40</v>
      </c>
      <c r="D1" s="16" t="s">
        <v>41</v>
      </c>
      <c r="E1" s="16" t="s">
        <v>42</v>
      </c>
      <c r="F1" s="16" t="s">
        <v>43</v>
      </c>
      <c r="G1" s="16" t="s">
        <v>44</v>
      </c>
      <c r="H1" s="16" t="s">
        <v>45</v>
      </c>
      <c r="I1" s="16" t="s">
        <v>46</v>
      </c>
      <c r="J1" s="16" t="s">
        <v>47</v>
      </c>
      <c r="K1" t="s">
        <v>115</v>
      </c>
      <c r="L1" s="17" t="s">
        <v>48</v>
      </c>
      <c r="M1" s="17" t="s">
        <v>49</v>
      </c>
      <c r="N1" s="17" t="s">
        <v>50</v>
      </c>
      <c r="O1" s="17" t="s">
        <v>51</v>
      </c>
      <c r="P1" s="17" t="s">
        <v>52</v>
      </c>
      <c r="Q1" s="17" t="s">
        <v>53</v>
      </c>
      <c r="R1" s="17" t="s">
        <v>54</v>
      </c>
      <c r="S1" s="17" t="s">
        <v>55</v>
      </c>
      <c r="T1" s="17" t="s">
        <v>56</v>
      </c>
      <c r="U1" s="17" t="s">
        <v>57</v>
      </c>
    </row>
    <row r="2" spans="1:21" x14ac:dyDescent="0.2">
      <c r="A2" s="9" t="s">
        <v>58</v>
      </c>
      <c r="B2" s="26" t="s">
        <v>117</v>
      </c>
      <c r="C2" s="9">
        <v>46</v>
      </c>
      <c r="D2" s="9">
        <v>46</v>
      </c>
      <c r="E2" s="9">
        <v>54</v>
      </c>
      <c r="F2" s="18">
        <f t="shared" ref="F2:F41" si="0">ROUND(AVERAGE(C2:E2),1)</f>
        <v>48.7</v>
      </c>
      <c r="G2" s="19">
        <v>56.3</v>
      </c>
      <c r="H2" s="9" t="str">
        <f t="shared" ref="H2:H41" si="1">IF(F2&lt;60,"FAIL","PASS")</f>
        <v>FAIL</v>
      </c>
      <c r="I2" s="9" t="str">
        <f t="shared" ref="I2:I41" si="2">IF(G2&lt;75,"FAIL","PASS")</f>
        <v>FAIL</v>
      </c>
      <c r="J2" s="9" t="str">
        <f t="shared" ref="J2:J41" si="3">IF(AND(H2="FAIL",I2="FAIL"),"RED - Dual Risk",IF(OR(H2="FAIL",I2="FAIL"),"YELLOW - Single Risk","GREEN - Satisfactory"))</f>
        <v>RED - Dual Risk</v>
      </c>
      <c r="L2" s="20" t="str">
        <f t="shared" ref="L2:L41" si="4">IF(J2="GREEN - Satisfactory",G2,"")</f>
        <v/>
      </c>
      <c r="M2" s="20" t="str">
        <f t="shared" ref="M2:M41" si="5">IF(J2="GREEN - Satisfactory",F2,"")</f>
        <v/>
      </c>
      <c r="N2" s="20" t="str">
        <f t="shared" ref="N2:N41" si="6">IF(J2="YELLOW - Single Risk",G2,"")</f>
        <v/>
      </c>
      <c r="O2" s="20" t="str">
        <f t="shared" ref="O2:O41" si="7">IF(J2="YELLOW - Single Risk",F2,"")</f>
        <v/>
      </c>
      <c r="P2" s="21">
        <f t="shared" ref="P2:P41" si="8">IF(J2="RED - Dual Risk",G2,"")</f>
        <v>56.3</v>
      </c>
      <c r="Q2" s="22">
        <f t="shared" ref="Q2:Q41" si="9">IF(J2="RED - Dual Risk",F2,"")</f>
        <v>48.7</v>
      </c>
      <c r="R2">
        <v>0</v>
      </c>
      <c r="S2">
        <v>60</v>
      </c>
      <c r="T2">
        <v>75</v>
      </c>
      <c r="U2">
        <v>0</v>
      </c>
    </row>
    <row r="3" spans="1:21" x14ac:dyDescent="0.2">
      <c r="A3" s="9" t="s">
        <v>59</v>
      </c>
      <c r="B3" s="26" t="s">
        <v>118</v>
      </c>
      <c r="C3" s="9">
        <v>36</v>
      </c>
      <c r="D3" s="9">
        <v>58</v>
      </c>
      <c r="E3" s="9">
        <v>49</v>
      </c>
      <c r="F3" s="18">
        <f t="shared" si="0"/>
        <v>47.7</v>
      </c>
      <c r="G3" s="19">
        <v>62.9</v>
      </c>
      <c r="H3" s="9" t="str">
        <f t="shared" si="1"/>
        <v>FAIL</v>
      </c>
      <c r="I3" s="9" t="str">
        <f t="shared" si="2"/>
        <v>FAIL</v>
      </c>
      <c r="J3" s="9" t="str">
        <f t="shared" si="3"/>
        <v>RED - Dual Risk</v>
      </c>
      <c r="L3" s="20" t="str">
        <f t="shared" si="4"/>
        <v/>
      </c>
      <c r="M3" s="20" t="str">
        <f t="shared" si="5"/>
        <v/>
      </c>
      <c r="N3" s="20" t="str">
        <f t="shared" si="6"/>
        <v/>
      </c>
      <c r="O3" s="20" t="str">
        <f t="shared" si="7"/>
        <v/>
      </c>
      <c r="P3" s="21">
        <f t="shared" si="8"/>
        <v>62.9</v>
      </c>
      <c r="Q3" s="22">
        <f t="shared" si="9"/>
        <v>47.7</v>
      </c>
      <c r="R3">
        <v>100</v>
      </c>
      <c r="S3">
        <v>60</v>
      </c>
      <c r="T3">
        <v>75</v>
      </c>
      <c r="U3">
        <v>100</v>
      </c>
    </row>
    <row r="4" spans="1:21" x14ac:dyDescent="0.2">
      <c r="A4" s="9" t="s">
        <v>60</v>
      </c>
      <c r="B4" s="26" t="s">
        <v>119</v>
      </c>
      <c r="C4" s="9">
        <v>52</v>
      </c>
      <c r="D4" s="9">
        <v>42</v>
      </c>
      <c r="E4" s="9">
        <v>57</v>
      </c>
      <c r="F4" s="18">
        <f t="shared" si="0"/>
        <v>50.3</v>
      </c>
      <c r="G4" s="19">
        <v>82.4</v>
      </c>
      <c r="H4" s="9" t="str">
        <f t="shared" si="1"/>
        <v>FAIL</v>
      </c>
      <c r="I4" s="9" t="str">
        <f t="shared" si="2"/>
        <v>PASS</v>
      </c>
      <c r="J4" s="9" t="str">
        <f t="shared" si="3"/>
        <v>YELLOW - Single Risk</v>
      </c>
      <c r="L4" s="20" t="str">
        <f t="shared" si="4"/>
        <v/>
      </c>
      <c r="M4" s="20" t="str">
        <f t="shared" si="5"/>
        <v/>
      </c>
      <c r="N4" s="21">
        <f t="shared" si="6"/>
        <v>82.4</v>
      </c>
      <c r="O4" s="22">
        <f t="shared" si="7"/>
        <v>50.3</v>
      </c>
      <c r="P4" s="20" t="str">
        <f t="shared" si="8"/>
        <v/>
      </c>
      <c r="Q4" s="20" t="str">
        <f t="shared" si="9"/>
        <v/>
      </c>
    </row>
    <row r="5" spans="1:21" x14ac:dyDescent="0.2">
      <c r="A5" s="9" t="s">
        <v>61</v>
      </c>
      <c r="B5" s="26" t="s">
        <v>120</v>
      </c>
      <c r="C5" s="9">
        <v>84</v>
      </c>
      <c r="D5" s="9">
        <v>97</v>
      </c>
      <c r="E5" s="9">
        <v>73</v>
      </c>
      <c r="F5" s="18">
        <f t="shared" si="0"/>
        <v>84.7</v>
      </c>
      <c r="G5" s="19">
        <v>92.2</v>
      </c>
      <c r="H5" s="9" t="str">
        <f t="shared" si="1"/>
        <v>PASS</v>
      </c>
      <c r="I5" s="9" t="str">
        <f t="shared" si="2"/>
        <v>PASS</v>
      </c>
      <c r="J5" s="9" t="str">
        <f t="shared" si="3"/>
        <v>GREEN - Satisfactory</v>
      </c>
      <c r="L5" s="21">
        <f t="shared" si="4"/>
        <v>92.2</v>
      </c>
      <c r="M5" s="22">
        <f t="shared" si="5"/>
        <v>84.7</v>
      </c>
      <c r="N5" s="20" t="str">
        <f t="shared" si="6"/>
        <v/>
      </c>
      <c r="O5" s="20" t="str">
        <f t="shared" si="7"/>
        <v/>
      </c>
      <c r="P5" s="20" t="str">
        <f t="shared" si="8"/>
        <v/>
      </c>
      <c r="Q5" s="20" t="str">
        <f t="shared" si="9"/>
        <v/>
      </c>
    </row>
    <row r="6" spans="1:21" x14ac:dyDescent="0.2">
      <c r="A6" s="9" t="s">
        <v>62</v>
      </c>
      <c r="B6" s="26" t="s">
        <v>121</v>
      </c>
      <c r="C6" s="9">
        <v>63</v>
      </c>
      <c r="D6" s="9">
        <v>75</v>
      </c>
      <c r="E6" s="9">
        <v>79</v>
      </c>
      <c r="F6" s="18">
        <f t="shared" si="0"/>
        <v>72.3</v>
      </c>
      <c r="G6" s="19">
        <v>73.599999999999994</v>
      </c>
      <c r="H6" s="9" t="str">
        <f t="shared" si="1"/>
        <v>PASS</v>
      </c>
      <c r="I6" s="9" t="str">
        <f t="shared" si="2"/>
        <v>FAIL</v>
      </c>
      <c r="J6" s="9" t="str">
        <f t="shared" si="3"/>
        <v>YELLOW - Single Risk</v>
      </c>
      <c r="L6" s="20" t="str">
        <f t="shared" si="4"/>
        <v/>
      </c>
      <c r="M6" s="20" t="str">
        <f t="shared" si="5"/>
        <v/>
      </c>
      <c r="N6" s="21">
        <f t="shared" si="6"/>
        <v>73.599999999999994</v>
      </c>
      <c r="O6" s="22">
        <f t="shared" si="7"/>
        <v>72.3</v>
      </c>
      <c r="P6" s="20" t="str">
        <f t="shared" si="8"/>
        <v/>
      </c>
      <c r="Q6" s="20" t="str">
        <f t="shared" si="9"/>
        <v/>
      </c>
    </row>
    <row r="7" spans="1:21" x14ac:dyDescent="0.2">
      <c r="A7" s="9" t="s">
        <v>63</v>
      </c>
      <c r="B7" s="26" t="s">
        <v>122</v>
      </c>
      <c r="C7" s="9">
        <v>75</v>
      </c>
      <c r="D7" s="9">
        <v>67</v>
      </c>
      <c r="E7" s="9">
        <v>85</v>
      </c>
      <c r="F7" s="18">
        <f t="shared" si="0"/>
        <v>75.7</v>
      </c>
      <c r="G7" s="19">
        <v>56.7</v>
      </c>
      <c r="H7" s="9" t="str">
        <f t="shared" si="1"/>
        <v>PASS</v>
      </c>
      <c r="I7" s="9" t="str">
        <f t="shared" si="2"/>
        <v>FAIL</v>
      </c>
      <c r="J7" s="9" t="str">
        <f t="shared" si="3"/>
        <v>YELLOW - Single Risk</v>
      </c>
      <c r="L7" s="20" t="str">
        <f t="shared" si="4"/>
        <v/>
      </c>
      <c r="M7" s="20" t="str">
        <f t="shared" si="5"/>
        <v/>
      </c>
      <c r="N7" s="21">
        <f t="shared" si="6"/>
        <v>56.7</v>
      </c>
      <c r="O7" s="22">
        <f t="shared" si="7"/>
        <v>75.7</v>
      </c>
      <c r="P7" s="20" t="str">
        <f t="shared" si="8"/>
        <v/>
      </c>
      <c r="Q7" s="20" t="str">
        <f t="shared" si="9"/>
        <v/>
      </c>
    </row>
    <row r="8" spans="1:21" x14ac:dyDescent="0.2">
      <c r="A8" s="9" t="s">
        <v>64</v>
      </c>
      <c r="B8" s="26" t="s">
        <v>123</v>
      </c>
      <c r="C8" s="9">
        <v>84</v>
      </c>
      <c r="D8" s="9">
        <v>71</v>
      </c>
      <c r="E8" s="9">
        <v>84</v>
      </c>
      <c r="F8" s="18">
        <f t="shared" si="0"/>
        <v>79.7</v>
      </c>
      <c r="G8" s="19">
        <v>84.2</v>
      </c>
      <c r="H8" s="9" t="str">
        <f t="shared" si="1"/>
        <v>PASS</v>
      </c>
      <c r="I8" s="9" t="str">
        <f t="shared" si="2"/>
        <v>PASS</v>
      </c>
      <c r="J8" s="9" t="str">
        <f t="shared" si="3"/>
        <v>GREEN - Satisfactory</v>
      </c>
      <c r="L8" s="21">
        <f t="shared" si="4"/>
        <v>84.2</v>
      </c>
      <c r="M8" s="22">
        <f t="shared" si="5"/>
        <v>79.7</v>
      </c>
      <c r="N8" s="20" t="str">
        <f t="shared" si="6"/>
        <v/>
      </c>
      <c r="O8" s="20" t="str">
        <f t="shared" si="7"/>
        <v/>
      </c>
      <c r="P8" s="20" t="str">
        <f t="shared" si="8"/>
        <v/>
      </c>
      <c r="Q8" s="20" t="str">
        <f t="shared" si="9"/>
        <v/>
      </c>
    </row>
    <row r="9" spans="1:21" x14ac:dyDescent="0.2">
      <c r="A9" s="9" t="s">
        <v>65</v>
      </c>
      <c r="B9" s="26" t="s">
        <v>124</v>
      </c>
      <c r="C9" s="9">
        <v>48</v>
      </c>
      <c r="D9" s="9">
        <v>42</v>
      </c>
      <c r="E9" s="9">
        <v>59</v>
      </c>
      <c r="F9" s="18">
        <f t="shared" si="0"/>
        <v>49.7</v>
      </c>
      <c r="G9" s="19">
        <v>90</v>
      </c>
      <c r="H9" s="9" t="str">
        <f t="shared" si="1"/>
        <v>FAIL</v>
      </c>
      <c r="I9" s="9" t="str">
        <f t="shared" si="2"/>
        <v>PASS</v>
      </c>
      <c r="J9" s="9" t="str">
        <f t="shared" si="3"/>
        <v>YELLOW - Single Risk</v>
      </c>
      <c r="L9" s="20" t="str">
        <f t="shared" si="4"/>
        <v/>
      </c>
      <c r="M9" s="20" t="str">
        <f t="shared" si="5"/>
        <v/>
      </c>
      <c r="N9" s="21">
        <f t="shared" si="6"/>
        <v>90</v>
      </c>
      <c r="O9" s="22">
        <f t="shared" si="7"/>
        <v>49.7</v>
      </c>
      <c r="P9" s="20" t="str">
        <f t="shared" si="8"/>
        <v/>
      </c>
      <c r="Q9" s="20" t="str">
        <f t="shared" si="9"/>
        <v/>
      </c>
    </row>
    <row r="10" spans="1:21" x14ac:dyDescent="0.2">
      <c r="A10" s="9" t="s">
        <v>66</v>
      </c>
      <c r="B10" s="26" t="s">
        <v>125</v>
      </c>
      <c r="C10" s="9">
        <v>52</v>
      </c>
      <c r="D10" s="9">
        <v>58</v>
      </c>
      <c r="E10" s="9">
        <v>42</v>
      </c>
      <c r="F10" s="18">
        <f t="shared" si="0"/>
        <v>50.7</v>
      </c>
      <c r="G10" s="19">
        <v>53.9</v>
      </c>
      <c r="H10" s="9" t="str">
        <f t="shared" si="1"/>
        <v>FAIL</v>
      </c>
      <c r="I10" s="9" t="str">
        <f t="shared" si="2"/>
        <v>FAIL</v>
      </c>
      <c r="J10" s="9" t="str">
        <f t="shared" si="3"/>
        <v>RED - Dual Risk</v>
      </c>
      <c r="L10" s="20" t="str">
        <f t="shared" si="4"/>
        <v/>
      </c>
      <c r="M10" s="20" t="str">
        <f t="shared" si="5"/>
        <v/>
      </c>
      <c r="N10" s="20" t="str">
        <f t="shared" si="6"/>
        <v/>
      </c>
      <c r="O10" s="20" t="str">
        <f t="shared" si="7"/>
        <v/>
      </c>
      <c r="P10" s="21">
        <f t="shared" si="8"/>
        <v>53.9</v>
      </c>
      <c r="Q10" s="22">
        <f t="shared" si="9"/>
        <v>50.7</v>
      </c>
    </row>
    <row r="11" spans="1:21" x14ac:dyDescent="0.2">
      <c r="A11" s="9" t="s">
        <v>67</v>
      </c>
      <c r="B11" s="26" t="s">
        <v>126</v>
      </c>
      <c r="C11" s="9">
        <v>85</v>
      </c>
      <c r="D11" s="9">
        <v>78</v>
      </c>
      <c r="E11" s="9">
        <v>96</v>
      </c>
      <c r="F11" s="18">
        <f t="shared" si="0"/>
        <v>86.3</v>
      </c>
      <c r="G11" s="19">
        <v>81.099999999999994</v>
      </c>
      <c r="H11" s="9" t="str">
        <f t="shared" si="1"/>
        <v>PASS</v>
      </c>
      <c r="I11" s="9" t="str">
        <f t="shared" si="2"/>
        <v>PASS</v>
      </c>
      <c r="J11" s="9" t="str">
        <f t="shared" si="3"/>
        <v>GREEN - Satisfactory</v>
      </c>
      <c r="L11" s="21">
        <f t="shared" si="4"/>
        <v>81.099999999999994</v>
      </c>
      <c r="M11" s="22">
        <f t="shared" si="5"/>
        <v>86.3</v>
      </c>
      <c r="N11" s="20" t="str">
        <f t="shared" si="6"/>
        <v/>
      </c>
      <c r="O11" s="20" t="str">
        <f t="shared" si="7"/>
        <v/>
      </c>
      <c r="P11" s="20" t="str">
        <f t="shared" si="8"/>
        <v/>
      </c>
      <c r="Q11" s="20" t="str">
        <f t="shared" si="9"/>
        <v/>
      </c>
    </row>
    <row r="12" spans="1:21" x14ac:dyDescent="0.2">
      <c r="A12" s="9" t="s">
        <v>68</v>
      </c>
      <c r="B12" s="26" t="s">
        <v>127</v>
      </c>
      <c r="C12" s="9">
        <v>81</v>
      </c>
      <c r="D12" s="9">
        <v>64</v>
      </c>
      <c r="E12" s="9">
        <v>75</v>
      </c>
      <c r="F12" s="18">
        <f t="shared" si="0"/>
        <v>73.3</v>
      </c>
      <c r="G12" s="19">
        <v>69.7</v>
      </c>
      <c r="H12" s="9" t="str">
        <f t="shared" si="1"/>
        <v>PASS</v>
      </c>
      <c r="I12" s="9" t="str">
        <f t="shared" si="2"/>
        <v>FAIL</v>
      </c>
      <c r="J12" s="9" t="str">
        <f t="shared" si="3"/>
        <v>YELLOW - Single Risk</v>
      </c>
      <c r="L12" s="20" t="str">
        <f t="shared" si="4"/>
        <v/>
      </c>
      <c r="M12" s="20" t="str">
        <f t="shared" si="5"/>
        <v/>
      </c>
      <c r="N12" s="21">
        <f t="shared" si="6"/>
        <v>69.7</v>
      </c>
      <c r="O12" s="22">
        <f t="shared" si="7"/>
        <v>73.3</v>
      </c>
      <c r="P12" s="20" t="str">
        <f t="shared" si="8"/>
        <v/>
      </c>
      <c r="Q12" s="20" t="str">
        <f t="shared" si="9"/>
        <v/>
      </c>
    </row>
    <row r="13" spans="1:21" x14ac:dyDescent="0.2">
      <c r="A13" s="9" t="s">
        <v>69</v>
      </c>
      <c r="B13" s="26" t="s">
        <v>128</v>
      </c>
      <c r="C13" s="9">
        <v>81</v>
      </c>
      <c r="D13" s="9">
        <v>86</v>
      </c>
      <c r="E13" s="9">
        <v>78</v>
      </c>
      <c r="F13" s="18">
        <f t="shared" si="0"/>
        <v>81.7</v>
      </c>
      <c r="G13" s="19">
        <v>51.6</v>
      </c>
      <c r="H13" s="9" t="str">
        <f t="shared" si="1"/>
        <v>PASS</v>
      </c>
      <c r="I13" s="9" t="str">
        <f t="shared" si="2"/>
        <v>FAIL</v>
      </c>
      <c r="J13" s="9" t="str">
        <f t="shared" si="3"/>
        <v>YELLOW - Single Risk</v>
      </c>
      <c r="L13" s="20" t="str">
        <f t="shared" si="4"/>
        <v/>
      </c>
      <c r="M13" s="20" t="str">
        <f t="shared" si="5"/>
        <v/>
      </c>
      <c r="N13" s="21">
        <f t="shared" si="6"/>
        <v>51.6</v>
      </c>
      <c r="O13" s="22">
        <f t="shared" si="7"/>
        <v>81.7</v>
      </c>
      <c r="P13" s="20" t="str">
        <f t="shared" si="8"/>
        <v/>
      </c>
      <c r="Q13" s="20" t="str">
        <f t="shared" si="9"/>
        <v/>
      </c>
    </row>
    <row r="14" spans="1:21" x14ac:dyDescent="0.2">
      <c r="A14" s="9" t="s">
        <v>70</v>
      </c>
      <c r="B14" s="26" t="s">
        <v>129</v>
      </c>
      <c r="C14" s="9">
        <v>81</v>
      </c>
      <c r="D14" s="9">
        <v>74</v>
      </c>
      <c r="E14" s="9">
        <v>92</v>
      </c>
      <c r="F14" s="18">
        <f t="shared" si="0"/>
        <v>82.3</v>
      </c>
      <c r="G14" s="19">
        <v>59.5</v>
      </c>
      <c r="H14" s="9" t="str">
        <f t="shared" si="1"/>
        <v>PASS</v>
      </c>
      <c r="I14" s="9" t="str">
        <f t="shared" si="2"/>
        <v>FAIL</v>
      </c>
      <c r="J14" s="9" t="str">
        <f t="shared" si="3"/>
        <v>YELLOW - Single Risk</v>
      </c>
      <c r="L14" s="20" t="str">
        <f t="shared" si="4"/>
        <v/>
      </c>
      <c r="M14" s="20" t="str">
        <f t="shared" si="5"/>
        <v/>
      </c>
      <c r="N14" s="21">
        <f t="shared" si="6"/>
        <v>59.5</v>
      </c>
      <c r="O14" s="22">
        <f t="shared" si="7"/>
        <v>82.3</v>
      </c>
      <c r="P14" s="20" t="str">
        <f t="shared" si="8"/>
        <v/>
      </c>
      <c r="Q14" s="20" t="str">
        <f t="shared" si="9"/>
        <v/>
      </c>
    </row>
    <row r="15" spans="1:21" x14ac:dyDescent="0.2">
      <c r="A15" s="9" t="s">
        <v>71</v>
      </c>
      <c r="B15" s="26" t="s">
        <v>130</v>
      </c>
      <c r="C15" s="9">
        <v>54</v>
      </c>
      <c r="D15" s="9">
        <v>44</v>
      </c>
      <c r="E15" s="9">
        <v>48</v>
      </c>
      <c r="F15" s="18">
        <f t="shared" si="0"/>
        <v>48.7</v>
      </c>
      <c r="G15" s="19">
        <v>79.099999999999994</v>
      </c>
      <c r="H15" s="9" t="str">
        <f t="shared" si="1"/>
        <v>FAIL</v>
      </c>
      <c r="I15" s="9" t="str">
        <f t="shared" si="2"/>
        <v>PASS</v>
      </c>
      <c r="J15" s="9" t="str">
        <f t="shared" si="3"/>
        <v>YELLOW - Single Risk</v>
      </c>
      <c r="L15" s="20" t="str">
        <f t="shared" si="4"/>
        <v/>
      </c>
      <c r="M15" s="20" t="str">
        <f t="shared" si="5"/>
        <v/>
      </c>
      <c r="N15" s="21">
        <f t="shared" si="6"/>
        <v>79.099999999999994</v>
      </c>
      <c r="O15" s="22">
        <f t="shared" si="7"/>
        <v>48.7</v>
      </c>
      <c r="P15" s="20" t="str">
        <f t="shared" si="8"/>
        <v/>
      </c>
      <c r="Q15" s="20" t="str">
        <f t="shared" si="9"/>
        <v/>
      </c>
    </row>
    <row r="16" spans="1:21" x14ac:dyDescent="0.2">
      <c r="A16" s="9" t="s">
        <v>72</v>
      </c>
      <c r="B16" s="26" t="s">
        <v>131</v>
      </c>
      <c r="C16" s="9">
        <v>57</v>
      </c>
      <c r="D16" s="9">
        <v>57</v>
      </c>
      <c r="E16" s="9">
        <v>48</v>
      </c>
      <c r="F16" s="18">
        <f t="shared" si="0"/>
        <v>54</v>
      </c>
      <c r="G16" s="19">
        <v>92.4</v>
      </c>
      <c r="H16" s="9" t="str">
        <f t="shared" si="1"/>
        <v>FAIL</v>
      </c>
      <c r="I16" s="9" t="str">
        <f t="shared" si="2"/>
        <v>PASS</v>
      </c>
      <c r="J16" s="9" t="str">
        <f t="shared" si="3"/>
        <v>YELLOW - Single Risk</v>
      </c>
      <c r="L16" s="20" t="str">
        <f t="shared" si="4"/>
        <v/>
      </c>
      <c r="M16" s="20" t="str">
        <f t="shared" si="5"/>
        <v/>
      </c>
      <c r="N16" s="21">
        <f t="shared" si="6"/>
        <v>92.4</v>
      </c>
      <c r="O16" s="22">
        <f t="shared" si="7"/>
        <v>54</v>
      </c>
      <c r="P16" s="20" t="str">
        <f t="shared" si="8"/>
        <v/>
      </c>
      <c r="Q16" s="20" t="str">
        <f t="shared" si="9"/>
        <v/>
      </c>
    </row>
    <row r="17" spans="1:17" x14ac:dyDescent="0.2">
      <c r="A17" s="9" t="s">
        <v>73</v>
      </c>
      <c r="B17" s="26" t="s">
        <v>132</v>
      </c>
      <c r="C17" s="9">
        <v>88</v>
      </c>
      <c r="D17" s="9">
        <v>98</v>
      </c>
      <c r="E17" s="9">
        <v>86</v>
      </c>
      <c r="F17" s="18">
        <f t="shared" si="0"/>
        <v>90.7</v>
      </c>
      <c r="G17" s="19">
        <v>84.3</v>
      </c>
      <c r="H17" s="9" t="str">
        <f t="shared" si="1"/>
        <v>PASS</v>
      </c>
      <c r="I17" s="9" t="str">
        <f t="shared" si="2"/>
        <v>PASS</v>
      </c>
      <c r="J17" s="9" t="str">
        <f t="shared" si="3"/>
        <v>GREEN - Satisfactory</v>
      </c>
      <c r="L17" s="21">
        <f t="shared" si="4"/>
        <v>84.3</v>
      </c>
      <c r="M17" s="22">
        <f t="shared" si="5"/>
        <v>90.7</v>
      </c>
      <c r="N17" s="20" t="str">
        <f t="shared" si="6"/>
        <v/>
      </c>
      <c r="O17" s="20" t="str">
        <f t="shared" si="7"/>
        <v/>
      </c>
      <c r="P17" s="20" t="str">
        <f t="shared" si="8"/>
        <v/>
      </c>
      <c r="Q17" s="20" t="str">
        <f t="shared" si="9"/>
        <v/>
      </c>
    </row>
    <row r="18" spans="1:17" x14ac:dyDescent="0.2">
      <c r="A18" s="9" t="s">
        <v>74</v>
      </c>
      <c r="B18" s="26" t="s">
        <v>133</v>
      </c>
      <c r="C18" s="9">
        <v>69</v>
      </c>
      <c r="D18" s="9">
        <v>93</v>
      </c>
      <c r="E18" s="9">
        <v>92</v>
      </c>
      <c r="F18" s="18">
        <f t="shared" si="0"/>
        <v>84.7</v>
      </c>
      <c r="G18" s="19">
        <v>78.099999999999994</v>
      </c>
      <c r="H18" s="9" t="str">
        <f t="shared" si="1"/>
        <v>PASS</v>
      </c>
      <c r="I18" s="9" t="str">
        <f t="shared" si="2"/>
        <v>PASS</v>
      </c>
      <c r="J18" s="9" t="str">
        <f t="shared" si="3"/>
        <v>GREEN - Satisfactory</v>
      </c>
      <c r="L18" s="21">
        <f t="shared" si="4"/>
        <v>78.099999999999994</v>
      </c>
      <c r="M18" s="22">
        <f t="shared" si="5"/>
        <v>84.7</v>
      </c>
      <c r="N18" s="20" t="str">
        <f t="shared" si="6"/>
        <v/>
      </c>
      <c r="O18" s="20" t="str">
        <f t="shared" si="7"/>
        <v/>
      </c>
      <c r="P18" s="20" t="str">
        <f t="shared" si="8"/>
        <v/>
      </c>
      <c r="Q18" s="20" t="str">
        <f t="shared" si="9"/>
        <v/>
      </c>
    </row>
    <row r="19" spans="1:17" x14ac:dyDescent="0.2">
      <c r="A19" s="9" t="s">
        <v>75</v>
      </c>
      <c r="B19" s="26" t="s">
        <v>134</v>
      </c>
      <c r="C19" s="9">
        <v>64</v>
      </c>
      <c r="D19" s="9">
        <v>68</v>
      </c>
      <c r="E19" s="9">
        <v>70</v>
      </c>
      <c r="F19" s="18">
        <f t="shared" si="0"/>
        <v>67.3</v>
      </c>
      <c r="G19" s="19">
        <v>65.099999999999994</v>
      </c>
      <c r="H19" s="9" t="str">
        <f t="shared" si="1"/>
        <v>PASS</v>
      </c>
      <c r="I19" s="9" t="str">
        <f t="shared" si="2"/>
        <v>FAIL</v>
      </c>
      <c r="J19" s="9" t="str">
        <f t="shared" si="3"/>
        <v>YELLOW - Single Risk</v>
      </c>
      <c r="L19" s="20" t="str">
        <f t="shared" si="4"/>
        <v/>
      </c>
      <c r="M19" s="20" t="str">
        <f t="shared" si="5"/>
        <v/>
      </c>
      <c r="N19" s="21">
        <f t="shared" si="6"/>
        <v>65.099999999999994</v>
      </c>
      <c r="O19" s="22">
        <f t="shared" si="7"/>
        <v>67.3</v>
      </c>
      <c r="P19" s="20" t="str">
        <f t="shared" si="8"/>
        <v/>
      </c>
      <c r="Q19" s="20" t="str">
        <f t="shared" si="9"/>
        <v/>
      </c>
    </row>
    <row r="20" spans="1:17" x14ac:dyDescent="0.2">
      <c r="A20" s="9" t="s">
        <v>76</v>
      </c>
      <c r="B20" s="26" t="s">
        <v>135</v>
      </c>
      <c r="C20" s="9">
        <v>53</v>
      </c>
      <c r="D20" s="9">
        <v>59</v>
      </c>
      <c r="E20" s="9">
        <v>42</v>
      </c>
      <c r="F20" s="18">
        <f t="shared" si="0"/>
        <v>51.3</v>
      </c>
      <c r="G20" s="19">
        <v>84.5</v>
      </c>
      <c r="H20" s="9" t="str">
        <f t="shared" si="1"/>
        <v>FAIL</v>
      </c>
      <c r="I20" s="9" t="str">
        <f t="shared" si="2"/>
        <v>PASS</v>
      </c>
      <c r="J20" s="9" t="str">
        <f t="shared" si="3"/>
        <v>YELLOW - Single Risk</v>
      </c>
      <c r="L20" s="20" t="str">
        <f t="shared" si="4"/>
        <v/>
      </c>
      <c r="M20" s="20" t="str">
        <f t="shared" si="5"/>
        <v/>
      </c>
      <c r="N20" s="21">
        <f t="shared" si="6"/>
        <v>84.5</v>
      </c>
      <c r="O20" s="22">
        <f t="shared" si="7"/>
        <v>51.3</v>
      </c>
      <c r="P20" s="20" t="str">
        <f t="shared" si="8"/>
        <v/>
      </c>
      <c r="Q20" s="20" t="str">
        <f t="shared" si="9"/>
        <v/>
      </c>
    </row>
    <row r="21" spans="1:17" x14ac:dyDescent="0.2">
      <c r="A21" s="9" t="s">
        <v>77</v>
      </c>
      <c r="B21" s="26" t="s">
        <v>136</v>
      </c>
      <c r="C21" s="9">
        <v>90</v>
      </c>
      <c r="D21" s="9">
        <v>94</v>
      </c>
      <c r="E21" s="9">
        <v>77</v>
      </c>
      <c r="F21" s="18">
        <f t="shared" si="0"/>
        <v>87</v>
      </c>
      <c r="G21" s="19">
        <v>73.3</v>
      </c>
      <c r="H21" s="9" t="str">
        <f t="shared" si="1"/>
        <v>PASS</v>
      </c>
      <c r="I21" s="9" t="str">
        <f t="shared" si="2"/>
        <v>FAIL</v>
      </c>
      <c r="J21" s="9" t="str">
        <f t="shared" si="3"/>
        <v>YELLOW - Single Risk</v>
      </c>
      <c r="L21" s="20" t="str">
        <f t="shared" si="4"/>
        <v/>
      </c>
      <c r="M21" s="20" t="str">
        <f t="shared" si="5"/>
        <v/>
      </c>
      <c r="N21" s="21">
        <f t="shared" si="6"/>
        <v>73.3</v>
      </c>
      <c r="O21" s="22">
        <f t="shared" si="7"/>
        <v>87</v>
      </c>
      <c r="P21" s="20" t="str">
        <f t="shared" si="8"/>
        <v/>
      </c>
      <c r="Q21" s="20" t="str">
        <f t="shared" si="9"/>
        <v/>
      </c>
    </row>
    <row r="22" spans="1:17" x14ac:dyDescent="0.2">
      <c r="A22" s="9" t="s">
        <v>78</v>
      </c>
      <c r="B22" s="26" t="s">
        <v>137</v>
      </c>
      <c r="C22" s="9">
        <v>61</v>
      </c>
      <c r="D22" s="9">
        <v>68</v>
      </c>
      <c r="E22" s="9">
        <v>95</v>
      </c>
      <c r="F22" s="18">
        <f t="shared" si="0"/>
        <v>74.7</v>
      </c>
      <c r="G22" s="19">
        <v>68</v>
      </c>
      <c r="H22" s="9" t="str">
        <f t="shared" si="1"/>
        <v>PASS</v>
      </c>
      <c r="I22" s="9" t="str">
        <f t="shared" si="2"/>
        <v>FAIL</v>
      </c>
      <c r="J22" s="9" t="str">
        <f t="shared" si="3"/>
        <v>YELLOW - Single Risk</v>
      </c>
      <c r="L22" s="20" t="str">
        <f t="shared" si="4"/>
        <v/>
      </c>
      <c r="M22" s="20" t="str">
        <f t="shared" si="5"/>
        <v/>
      </c>
      <c r="N22" s="21">
        <f t="shared" si="6"/>
        <v>68</v>
      </c>
      <c r="O22" s="22">
        <f t="shared" si="7"/>
        <v>74.7</v>
      </c>
      <c r="P22" s="20" t="str">
        <f t="shared" si="8"/>
        <v/>
      </c>
      <c r="Q22" s="20" t="str">
        <f t="shared" si="9"/>
        <v/>
      </c>
    </row>
    <row r="23" spans="1:17" x14ac:dyDescent="0.2">
      <c r="A23" s="9" t="s">
        <v>79</v>
      </c>
      <c r="B23" s="26" t="s">
        <v>138</v>
      </c>
      <c r="C23" s="9">
        <v>82</v>
      </c>
      <c r="D23" s="9">
        <v>68</v>
      </c>
      <c r="E23" s="9">
        <v>79</v>
      </c>
      <c r="F23" s="18">
        <f t="shared" si="0"/>
        <v>76.3</v>
      </c>
      <c r="G23" s="19">
        <v>86</v>
      </c>
      <c r="H23" s="9" t="str">
        <f t="shared" si="1"/>
        <v>PASS</v>
      </c>
      <c r="I23" s="9" t="str">
        <f t="shared" si="2"/>
        <v>PASS</v>
      </c>
      <c r="J23" s="9" t="str">
        <f t="shared" si="3"/>
        <v>GREEN - Satisfactory</v>
      </c>
      <c r="L23" s="21">
        <f t="shared" si="4"/>
        <v>86</v>
      </c>
      <c r="M23" s="22">
        <f t="shared" si="5"/>
        <v>76.3</v>
      </c>
      <c r="N23" s="20" t="str">
        <f t="shared" si="6"/>
        <v/>
      </c>
      <c r="O23" s="20" t="str">
        <f t="shared" si="7"/>
        <v/>
      </c>
      <c r="P23" s="20" t="str">
        <f t="shared" si="8"/>
        <v/>
      </c>
      <c r="Q23" s="20" t="str">
        <f t="shared" si="9"/>
        <v/>
      </c>
    </row>
    <row r="24" spans="1:17" x14ac:dyDescent="0.2">
      <c r="A24" s="9" t="s">
        <v>80</v>
      </c>
      <c r="B24" s="26" t="s">
        <v>139</v>
      </c>
      <c r="C24" s="9">
        <v>90</v>
      </c>
      <c r="D24" s="9">
        <v>61</v>
      </c>
      <c r="E24" s="9">
        <v>77</v>
      </c>
      <c r="F24" s="18">
        <f t="shared" si="0"/>
        <v>76</v>
      </c>
      <c r="G24" s="19">
        <v>98.4</v>
      </c>
      <c r="H24" s="9" t="str">
        <f t="shared" si="1"/>
        <v>PASS</v>
      </c>
      <c r="I24" s="9" t="str">
        <f t="shared" si="2"/>
        <v>PASS</v>
      </c>
      <c r="J24" s="9" t="str">
        <f t="shared" si="3"/>
        <v>GREEN - Satisfactory</v>
      </c>
      <c r="L24" s="21">
        <f t="shared" si="4"/>
        <v>98.4</v>
      </c>
      <c r="M24" s="22">
        <f t="shared" si="5"/>
        <v>76</v>
      </c>
      <c r="N24" s="20" t="str">
        <f t="shared" si="6"/>
        <v/>
      </c>
      <c r="O24" s="20" t="str">
        <f t="shared" si="7"/>
        <v/>
      </c>
      <c r="P24" s="20" t="str">
        <f t="shared" si="8"/>
        <v/>
      </c>
      <c r="Q24" s="20" t="str">
        <f t="shared" si="9"/>
        <v/>
      </c>
    </row>
    <row r="25" spans="1:17" x14ac:dyDescent="0.2">
      <c r="A25" s="9" t="s">
        <v>81</v>
      </c>
      <c r="B25" s="26" t="s">
        <v>140</v>
      </c>
      <c r="C25" s="9">
        <v>72</v>
      </c>
      <c r="D25" s="9">
        <v>93</v>
      </c>
      <c r="E25" s="9">
        <v>67</v>
      </c>
      <c r="F25" s="18">
        <f t="shared" si="0"/>
        <v>77.3</v>
      </c>
      <c r="G25" s="19">
        <v>70.900000000000006</v>
      </c>
      <c r="H25" s="9" t="str">
        <f t="shared" si="1"/>
        <v>PASS</v>
      </c>
      <c r="I25" s="9" t="str">
        <f t="shared" si="2"/>
        <v>FAIL</v>
      </c>
      <c r="J25" s="9" t="str">
        <f t="shared" si="3"/>
        <v>YELLOW - Single Risk</v>
      </c>
      <c r="L25" s="20" t="str">
        <f t="shared" si="4"/>
        <v/>
      </c>
      <c r="M25" s="20" t="str">
        <f t="shared" si="5"/>
        <v/>
      </c>
      <c r="N25" s="21">
        <f t="shared" si="6"/>
        <v>70.900000000000006</v>
      </c>
      <c r="O25" s="22">
        <f t="shared" si="7"/>
        <v>77.3</v>
      </c>
      <c r="P25" s="20" t="str">
        <f t="shared" si="8"/>
        <v/>
      </c>
      <c r="Q25" s="20" t="str">
        <f t="shared" si="9"/>
        <v/>
      </c>
    </row>
    <row r="26" spans="1:17" x14ac:dyDescent="0.2">
      <c r="A26" s="9" t="s">
        <v>82</v>
      </c>
      <c r="B26" s="26" t="s">
        <v>141</v>
      </c>
      <c r="C26" s="9">
        <v>49</v>
      </c>
      <c r="D26" s="9">
        <v>56</v>
      </c>
      <c r="E26" s="9">
        <v>59</v>
      </c>
      <c r="F26" s="18">
        <f t="shared" si="0"/>
        <v>54.7</v>
      </c>
      <c r="G26" s="19">
        <v>80.400000000000006</v>
      </c>
      <c r="H26" s="9" t="str">
        <f t="shared" si="1"/>
        <v>FAIL</v>
      </c>
      <c r="I26" s="9" t="str">
        <f t="shared" si="2"/>
        <v>PASS</v>
      </c>
      <c r="J26" s="9" t="str">
        <f t="shared" si="3"/>
        <v>YELLOW - Single Risk</v>
      </c>
      <c r="L26" s="20" t="str">
        <f t="shared" si="4"/>
        <v/>
      </c>
      <c r="M26" s="20" t="str">
        <f t="shared" si="5"/>
        <v/>
      </c>
      <c r="N26" s="21">
        <f t="shared" si="6"/>
        <v>80.400000000000006</v>
      </c>
      <c r="O26" s="22">
        <f t="shared" si="7"/>
        <v>54.7</v>
      </c>
      <c r="P26" s="20" t="str">
        <f t="shared" si="8"/>
        <v/>
      </c>
      <c r="Q26" s="20" t="str">
        <f t="shared" si="9"/>
        <v/>
      </c>
    </row>
    <row r="27" spans="1:17" x14ac:dyDescent="0.2">
      <c r="A27" s="9" t="s">
        <v>83</v>
      </c>
      <c r="B27" s="26" t="s">
        <v>142</v>
      </c>
      <c r="C27" s="9">
        <v>51</v>
      </c>
      <c r="D27" s="9">
        <v>45</v>
      </c>
      <c r="E27" s="9">
        <v>57</v>
      </c>
      <c r="F27" s="18">
        <f t="shared" si="0"/>
        <v>51</v>
      </c>
      <c r="G27" s="19">
        <v>97</v>
      </c>
      <c r="H27" s="9" t="str">
        <f t="shared" si="1"/>
        <v>FAIL</v>
      </c>
      <c r="I27" s="9" t="str">
        <f t="shared" si="2"/>
        <v>PASS</v>
      </c>
      <c r="J27" s="9" t="str">
        <f t="shared" si="3"/>
        <v>YELLOW - Single Risk</v>
      </c>
      <c r="L27" s="20" t="str">
        <f t="shared" si="4"/>
        <v/>
      </c>
      <c r="M27" s="20" t="str">
        <f t="shared" si="5"/>
        <v/>
      </c>
      <c r="N27" s="21">
        <f t="shared" si="6"/>
        <v>97</v>
      </c>
      <c r="O27" s="22">
        <f t="shared" si="7"/>
        <v>51</v>
      </c>
      <c r="P27" s="20" t="str">
        <f t="shared" si="8"/>
        <v/>
      </c>
      <c r="Q27" s="20" t="str">
        <f t="shared" si="9"/>
        <v/>
      </c>
    </row>
    <row r="28" spans="1:17" x14ac:dyDescent="0.2">
      <c r="A28" s="9" t="s">
        <v>84</v>
      </c>
      <c r="B28" s="26" t="s">
        <v>143</v>
      </c>
      <c r="C28" s="9">
        <v>94</v>
      </c>
      <c r="D28" s="9">
        <v>61</v>
      </c>
      <c r="E28" s="9">
        <v>81</v>
      </c>
      <c r="F28" s="18">
        <f t="shared" si="0"/>
        <v>78.7</v>
      </c>
      <c r="G28" s="19">
        <v>87.2</v>
      </c>
      <c r="H28" s="9" t="str">
        <f t="shared" si="1"/>
        <v>PASS</v>
      </c>
      <c r="I28" s="9" t="str">
        <f t="shared" si="2"/>
        <v>PASS</v>
      </c>
      <c r="J28" s="9" t="str">
        <f t="shared" si="3"/>
        <v>GREEN - Satisfactory</v>
      </c>
      <c r="L28" s="21">
        <f t="shared" si="4"/>
        <v>87.2</v>
      </c>
      <c r="M28" s="22">
        <f t="shared" si="5"/>
        <v>78.7</v>
      </c>
      <c r="N28" s="20" t="str">
        <f t="shared" si="6"/>
        <v/>
      </c>
      <c r="O28" s="20" t="str">
        <f t="shared" si="7"/>
        <v/>
      </c>
      <c r="P28" s="20" t="str">
        <f t="shared" si="8"/>
        <v/>
      </c>
      <c r="Q28" s="20" t="str">
        <f t="shared" si="9"/>
        <v/>
      </c>
    </row>
    <row r="29" spans="1:17" x14ac:dyDescent="0.2">
      <c r="A29" s="9" t="s">
        <v>85</v>
      </c>
      <c r="B29" s="26" t="s">
        <v>144</v>
      </c>
      <c r="C29" s="9">
        <v>68</v>
      </c>
      <c r="D29" s="9">
        <v>84</v>
      </c>
      <c r="E29" s="9">
        <v>80</v>
      </c>
      <c r="F29" s="18">
        <f t="shared" si="0"/>
        <v>77.3</v>
      </c>
      <c r="G29" s="19">
        <v>81.5</v>
      </c>
      <c r="H29" s="9" t="str">
        <f t="shared" si="1"/>
        <v>PASS</v>
      </c>
      <c r="I29" s="9" t="str">
        <f t="shared" si="2"/>
        <v>PASS</v>
      </c>
      <c r="J29" s="9" t="str">
        <f t="shared" si="3"/>
        <v>GREEN - Satisfactory</v>
      </c>
      <c r="L29" s="21">
        <f t="shared" si="4"/>
        <v>81.5</v>
      </c>
      <c r="M29" s="22">
        <f t="shared" si="5"/>
        <v>77.3</v>
      </c>
      <c r="N29" s="20" t="str">
        <f t="shared" si="6"/>
        <v/>
      </c>
      <c r="O29" s="20" t="str">
        <f t="shared" si="7"/>
        <v/>
      </c>
      <c r="P29" s="20" t="str">
        <f t="shared" si="8"/>
        <v/>
      </c>
      <c r="Q29" s="20" t="str">
        <f t="shared" si="9"/>
        <v/>
      </c>
    </row>
    <row r="30" spans="1:17" x14ac:dyDescent="0.2">
      <c r="A30" s="9" t="s">
        <v>86</v>
      </c>
      <c r="B30" s="26" t="s">
        <v>145</v>
      </c>
      <c r="C30" s="9">
        <v>42</v>
      </c>
      <c r="D30" s="9">
        <v>53</v>
      </c>
      <c r="E30" s="9">
        <v>37</v>
      </c>
      <c r="F30" s="18">
        <f t="shared" si="0"/>
        <v>44</v>
      </c>
      <c r="G30" s="19">
        <v>52.1</v>
      </c>
      <c r="H30" s="9" t="str">
        <f t="shared" si="1"/>
        <v>FAIL</v>
      </c>
      <c r="I30" s="9" t="str">
        <f t="shared" si="2"/>
        <v>FAIL</v>
      </c>
      <c r="J30" s="9" t="str">
        <f t="shared" si="3"/>
        <v>RED - Dual Risk</v>
      </c>
      <c r="L30" s="20" t="str">
        <f t="shared" si="4"/>
        <v/>
      </c>
      <c r="M30" s="20" t="str">
        <f t="shared" si="5"/>
        <v/>
      </c>
      <c r="N30" s="20" t="str">
        <f t="shared" si="6"/>
        <v/>
      </c>
      <c r="O30" s="20" t="str">
        <f t="shared" si="7"/>
        <v/>
      </c>
      <c r="P30" s="21">
        <f t="shared" si="8"/>
        <v>52.1</v>
      </c>
      <c r="Q30" s="22">
        <f t="shared" si="9"/>
        <v>44</v>
      </c>
    </row>
    <row r="31" spans="1:17" x14ac:dyDescent="0.2">
      <c r="A31" s="9" t="s">
        <v>87</v>
      </c>
      <c r="B31" s="26" t="s">
        <v>146</v>
      </c>
      <c r="C31" s="9">
        <v>50</v>
      </c>
      <c r="D31" s="9">
        <v>37</v>
      </c>
      <c r="E31" s="9">
        <v>52</v>
      </c>
      <c r="F31" s="18">
        <f t="shared" si="0"/>
        <v>46.3</v>
      </c>
      <c r="G31" s="19">
        <v>68.400000000000006</v>
      </c>
      <c r="H31" s="9" t="str">
        <f t="shared" si="1"/>
        <v>FAIL</v>
      </c>
      <c r="I31" s="9" t="str">
        <f t="shared" si="2"/>
        <v>FAIL</v>
      </c>
      <c r="J31" s="9" t="str">
        <f t="shared" si="3"/>
        <v>RED - Dual Risk</v>
      </c>
      <c r="L31" s="20" t="str">
        <f t="shared" si="4"/>
        <v/>
      </c>
      <c r="M31" s="20" t="str">
        <f t="shared" si="5"/>
        <v/>
      </c>
      <c r="N31" s="20" t="str">
        <f t="shared" si="6"/>
        <v/>
      </c>
      <c r="O31" s="20" t="str">
        <f t="shared" si="7"/>
        <v/>
      </c>
      <c r="P31" s="21">
        <f t="shared" si="8"/>
        <v>68.400000000000006</v>
      </c>
      <c r="Q31" s="22">
        <f t="shared" si="9"/>
        <v>46.3</v>
      </c>
    </row>
    <row r="32" spans="1:17" x14ac:dyDescent="0.2">
      <c r="A32" s="9" t="s">
        <v>88</v>
      </c>
      <c r="B32" s="26" t="s">
        <v>147</v>
      </c>
      <c r="C32" s="9">
        <v>69</v>
      </c>
      <c r="D32" s="9">
        <v>91</v>
      </c>
      <c r="E32" s="9">
        <v>96</v>
      </c>
      <c r="F32" s="18">
        <f t="shared" si="0"/>
        <v>85.3</v>
      </c>
      <c r="G32" s="19">
        <v>79.8</v>
      </c>
      <c r="H32" s="9" t="str">
        <f t="shared" si="1"/>
        <v>PASS</v>
      </c>
      <c r="I32" s="9" t="str">
        <f t="shared" si="2"/>
        <v>PASS</v>
      </c>
      <c r="J32" s="9" t="str">
        <f t="shared" si="3"/>
        <v>GREEN - Satisfactory</v>
      </c>
      <c r="L32" s="21">
        <f t="shared" si="4"/>
        <v>79.8</v>
      </c>
      <c r="M32" s="22">
        <f t="shared" si="5"/>
        <v>85.3</v>
      </c>
      <c r="N32" s="20" t="str">
        <f t="shared" si="6"/>
        <v/>
      </c>
      <c r="O32" s="20" t="str">
        <f t="shared" si="7"/>
        <v/>
      </c>
      <c r="P32" s="20" t="str">
        <f t="shared" si="8"/>
        <v/>
      </c>
      <c r="Q32" s="20" t="str">
        <f t="shared" si="9"/>
        <v/>
      </c>
    </row>
    <row r="33" spans="1:17" x14ac:dyDescent="0.2">
      <c r="A33" s="9" t="s">
        <v>89</v>
      </c>
      <c r="B33" s="26" t="s">
        <v>148</v>
      </c>
      <c r="C33" s="9">
        <v>94</v>
      </c>
      <c r="D33" s="9">
        <v>88</v>
      </c>
      <c r="E33" s="9">
        <v>74</v>
      </c>
      <c r="F33" s="18">
        <f t="shared" si="0"/>
        <v>85.3</v>
      </c>
      <c r="G33" s="19">
        <v>72.3</v>
      </c>
      <c r="H33" s="9" t="str">
        <f t="shared" si="1"/>
        <v>PASS</v>
      </c>
      <c r="I33" s="9" t="str">
        <f t="shared" si="2"/>
        <v>FAIL</v>
      </c>
      <c r="J33" s="9" t="str">
        <f t="shared" si="3"/>
        <v>YELLOW - Single Risk</v>
      </c>
      <c r="L33" s="20" t="str">
        <f t="shared" si="4"/>
        <v/>
      </c>
      <c r="M33" s="20" t="str">
        <f t="shared" si="5"/>
        <v/>
      </c>
      <c r="N33" s="21">
        <f t="shared" si="6"/>
        <v>72.3</v>
      </c>
      <c r="O33" s="22">
        <f t="shared" si="7"/>
        <v>85.3</v>
      </c>
      <c r="P33" s="20" t="str">
        <f t="shared" si="8"/>
        <v/>
      </c>
      <c r="Q33" s="20" t="str">
        <f t="shared" si="9"/>
        <v/>
      </c>
    </row>
    <row r="34" spans="1:17" x14ac:dyDescent="0.2">
      <c r="A34" s="9" t="s">
        <v>90</v>
      </c>
      <c r="B34" s="26" t="s">
        <v>149</v>
      </c>
      <c r="C34" s="9">
        <v>58</v>
      </c>
      <c r="D34" s="9">
        <v>57</v>
      </c>
      <c r="E34" s="9">
        <v>41</v>
      </c>
      <c r="F34" s="18">
        <f t="shared" si="0"/>
        <v>52</v>
      </c>
      <c r="G34" s="19">
        <v>67.099999999999994</v>
      </c>
      <c r="H34" s="9" t="str">
        <f t="shared" si="1"/>
        <v>FAIL</v>
      </c>
      <c r="I34" s="9" t="str">
        <f t="shared" si="2"/>
        <v>FAIL</v>
      </c>
      <c r="J34" s="9" t="str">
        <f t="shared" si="3"/>
        <v>RED - Dual Risk</v>
      </c>
      <c r="L34" s="20" t="str">
        <f t="shared" si="4"/>
        <v/>
      </c>
      <c r="M34" s="20" t="str">
        <f t="shared" si="5"/>
        <v/>
      </c>
      <c r="N34" s="20" t="str">
        <f t="shared" si="6"/>
        <v/>
      </c>
      <c r="O34" s="20" t="str">
        <f t="shared" si="7"/>
        <v/>
      </c>
      <c r="P34" s="21">
        <f t="shared" si="8"/>
        <v>67.099999999999994</v>
      </c>
      <c r="Q34" s="22">
        <f t="shared" si="9"/>
        <v>52</v>
      </c>
    </row>
    <row r="35" spans="1:17" x14ac:dyDescent="0.2">
      <c r="A35" s="9" t="s">
        <v>91</v>
      </c>
      <c r="B35" s="26" t="s">
        <v>150</v>
      </c>
      <c r="C35" s="9">
        <v>47</v>
      </c>
      <c r="D35" s="9">
        <v>56</v>
      </c>
      <c r="E35" s="9">
        <v>55</v>
      </c>
      <c r="F35" s="18">
        <f t="shared" si="0"/>
        <v>52.7</v>
      </c>
      <c r="G35" s="19">
        <v>59</v>
      </c>
      <c r="H35" s="9" t="str">
        <f t="shared" si="1"/>
        <v>FAIL</v>
      </c>
      <c r="I35" s="9" t="str">
        <f t="shared" si="2"/>
        <v>FAIL</v>
      </c>
      <c r="J35" s="9" t="str">
        <f t="shared" si="3"/>
        <v>RED - Dual Risk</v>
      </c>
      <c r="L35" s="20" t="str">
        <f t="shared" si="4"/>
        <v/>
      </c>
      <c r="M35" s="20" t="str">
        <f t="shared" si="5"/>
        <v/>
      </c>
      <c r="N35" s="20" t="str">
        <f t="shared" si="6"/>
        <v/>
      </c>
      <c r="O35" s="20" t="str">
        <f t="shared" si="7"/>
        <v/>
      </c>
      <c r="P35" s="21">
        <f t="shared" si="8"/>
        <v>59</v>
      </c>
      <c r="Q35" s="22">
        <f t="shared" si="9"/>
        <v>52.7</v>
      </c>
    </row>
    <row r="36" spans="1:17" x14ac:dyDescent="0.2">
      <c r="A36" s="9" t="s">
        <v>92</v>
      </c>
      <c r="B36" s="26" t="s">
        <v>151</v>
      </c>
      <c r="C36" s="9">
        <v>51</v>
      </c>
      <c r="D36" s="9">
        <v>49</v>
      </c>
      <c r="E36" s="9">
        <v>38</v>
      </c>
      <c r="F36" s="18">
        <f t="shared" si="0"/>
        <v>46</v>
      </c>
      <c r="G36" s="19">
        <v>55.9</v>
      </c>
      <c r="H36" s="9" t="str">
        <f t="shared" si="1"/>
        <v>FAIL</v>
      </c>
      <c r="I36" s="9" t="str">
        <f t="shared" si="2"/>
        <v>FAIL</v>
      </c>
      <c r="J36" s="9" t="str">
        <f t="shared" si="3"/>
        <v>RED - Dual Risk</v>
      </c>
      <c r="L36" s="20" t="str">
        <f t="shared" si="4"/>
        <v/>
      </c>
      <c r="M36" s="20" t="str">
        <f t="shared" si="5"/>
        <v/>
      </c>
      <c r="N36" s="20" t="str">
        <f t="shared" si="6"/>
        <v/>
      </c>
      <c r="O36" s="20" t="str">
        <f t="shared" si="7"/>
        <v/>
      </c>
      <c r="P36" s="21">
        <f t="shared" si="8"/>
        <v>55.9</v>
      </c>
      <c r="Q36" s="22">
        <f t="shared" si="9"/>
        <v>46</v>
      </c>
    </row>
    <row r="37" spans="1:17" x14ac:dyDescent="0.2">
      <c r="A37" s="9" t="s">
        <v>93</v>
      </c>
      <c r="B37" s="26" t="s">
        <v>152</v>
      </c>
      <c r="C37" s="9">
        <v>42</v>
      </c>
      <c r="D37" s="9">
        <v>50</v>
      </c>
      <c r="E37" s="9">
        <v>40</v>
      </c>
      <c r="F37" s="18">
        <f t="shared" si="0"/>
        <v>44</v>
      </c>
      <c r="G37" s="19">
        <v>88.9</v>
      </c>
      <c r="H37" s="9" t="str">
        <f t="shared" si="1"/>
        <v>FAIL</v>
      </c>
      <c r="I37" s="9" t="str">
        <f t="shared" si="2"/>
        <v>PASS</v>
      </c>
      <c r="J37" s="9" t="str">
        <f t="shared" si="3"/>
        <v>YELLOW - Single Risk</v>
      </c>
      <c r="L37" s="20" t="str">
        <f t="shared" si="4"/>
        <v/>
      </c>
      <c r="M37" s="20" t="str">
        <f t="shared" si="5"/>
        <v/>
      </c>
      <c r="N37" s="21">
        <f t="shared" si="6"/>
        <v>88.9</v>
      </c>
      <c r="O37" s="22">
        <f t="shared" si="7"/>
        <v>44</v>
      </c>
      <c r="P37" s="20" t="str">
        <f t="shared" si="8"/>
        <v/>
      </c>
      <c r="Q37" s="20" t="str">
        <f t="shared" si="9"/>
        <v/>
      </c>
    </row>
    <row r="38" spans="1:17" x14ac:dyDescent="0.2">
      <c r="A38" s="9" t="s">
        <v>94</v>
      </c>
      <c r="B38" s="26" t="s">
        <v>153</v>
      </c>
      <c r="C38" s="9">
        <v>47</v>
      </c>
      <c r="D38" s="9">
        <v>58</v>
      </c>
      <c r="E38" s="9">
        <v>47</v>
      </c>
      <c r="F38" s="18">
        <f t="shared" si="0"/>
        <v>50.7</v>
      </c>
      <c r="G38" s="19">
        <v>76.2</v>
      </c>
      <c r="H38" s="9" t="str">
        <f t="shared" si="1"/>
        <v>FAIL</v>
      </c>
      <c r="I38" s="9" t="str">
        <f t="shared" si="2"/>
        <v>PASS</v>
      </c>
      <c r="J38" s="9" t="str">
        <f t="shared" si="3"/>
        <v>YELLOW - Single Risk</v>
      </c>
      <c r="L38" s="20" t="str">
        <f t="shared" si="4"/>
        <v/>
      </c>
      <c r="M38" s="20" t="str">
        <f t="shared" si="5"/>
        <v/>
      </c>
      <c r="N38" s="21">
        <f t="shared" si="6"/>
        <v>76.2</v>
      </c>
      <c r="O38" s="22">
        <f t="shared" si="7"/>
        <v>50.7</v>
      </c>
      <c r="P38" s="20" t="str">
        <f t="shared" si="8"/>
        <v/>
      </c>
      <c r="Q38" s="20" t="str">
        <f t="shared" si="9"/>
        <v/>
      </c>
    </row>
    <row r="39" spans="1:17" x14ac:dyDescent="0.2">
      <c r="A39" s="9" t="s">
        <v>95</v>
      </c>
      <c r="B39" s="26" t="s">
        <v>154</v>
      </c>
      <c r="C39" s="9">
        <v>41</v>
      </c>
      <c r="D39" s="9">
        <v>47</v>
      </c>
      <c r="E39" s="9">
        <v>42</v>
      </c>
      <c r="F39" s="18">
        <f t="shared" si="0"/>
        <v>43.3</v>
      </c>
      <c r="G39" s="19">
        <v>95.9</v>
      </c>
      <c r="H39" s="9" t="str">
        <f t="shared" si="1"/>
        <v>FAIL</v>
      </c>
      <c r="I39" s="9" t="str">
        <f t="shared" si="2"/>
        <v>PASS</v>
      </c>
      <c r="J39" s="9" t="str">
        <f t="shared" si="3"/>
        <v>YELLOW - Single Risk</v>
      </c>
      <c r="L39" s="20" t="str">
        <f t="shared" si="4"/>
        <v/>
      </c>
      <c r="M39" s="20" t="str">
        <f t="shared" si="5"/>
        <v/>
      </c>
      <c r="N39" s="21">
        <f t="shared" si="6"/>
        <v>95.9</v>
      </c>
      <c r="O39" s="22">
        <f t="shared" si="7"/>
        <v>43.3</v>
      </c>
      <c r="P39" s="20" t="str">
        <f t="shared" si="8"/>
        <v/>
      </c>
      <c r="Q39" s="20" t="str">
        <f t="shared" si="9"/>
        <v/>
      </c>
    </row>
    <row r="40" spans="1:17" x14ac:dyDescent="0.2">
      <c r="A40" s="9" t="s">
        <v>96</v>
      </c>
      <c r="B40" s="26" t="s">
        <v>155</v>
      </c>
      <c r="C40" s="9">
        <v>45</v>
      </c>
      <c r="D40" s="9">
        <v>37</v>
      </c>
      <c r="E40" s="9">
        <v>51</v>
      </c>
      <c r="F40" s="18">
        <f t="shared" si="0"/>
        <v>44.3</v>
      </c>
      <c r="G40" s="19">
        <v>55.7</v>
      </c>
      <c r="H40" s="9" t="str">
        <f t="shared" si="1"/>
        <v>FAIL</v>
      </c>
      <c r="I40" s="9" t="str">
        <f t="shared" si="2"/>
        <v>FAIL</v>
      </c>
      <c r="J40" s="9" t="str">
        <f t="shared" si="3"/>
        <v>RED - Dual Risk</v>
      </c>
      <c r="L40" s="20" t="str">
        <f t="shared" si="4"/>
        <v/>
      </c>
      <c r="M40" s="20" t="str">
        <f t="shared" si="5"/>
        <v/>
      </c>
      <c r="N40" s="20" t="str">
        <f t="shared" si="6"/>
        <v/>
      </c>
      <c r="O40" s="20" t="str">
        <f t="shared" si="7"/>
        <v/>
      </c>
      <c r="P40" s="21">
        <f t="shared" si="8"/>
        <v>55.7</v>
      </c>
      <c r="Q40" s="22">
        <f t="shared" si="9"/>
        <v>44.3</v>
      </c>
    </row>
    <row r="41" spans="1:17" x14ac:dyDescent="0.2">
      <c r="A41" s="9" t="s">
        <v>97</v>
      </c>
      <c r="B41" s="26" t="s">
        <v>156</v>
      </c>
      <c r="C41" s="9">
        <v>56</v>
      </c>
      <c r="D41" s="9">
        <v>50</v>
      </c>
      <c r="E41" s="9">
        <v>41</v>
      </c>
      <c r="F41" s="18">
        <f t="shared" si="0"/>
        <v>49</v>
      </c>
      <c r="G41" s="19">
        <v>62.9</v>
      </c>
      <c r="H41" s="9" t="str">
        <f t="shared" si="1"/>
        <v>FAIL</v>
      </c>
      <c r="I41" s="9" t="str">
        <f t="shared" si="2"/>
        <v>FAIL</v>
      </c>
      <c r="J41" s="9" t="str">
        <f t="shared" si="3"/>
        <v>RED - Dual Risk</v>
      </c>
      <c r="L41" s="20" t="str">
        <f t="shared" si="4"/>
        <v/>
      </c>
      <c r="M41" s="20" t="str">
        <f t="shared" si="5"/>
        <v/>
      </c>
      <c r="N41" s="20" t="str">
        <f t="shared" si="6"/>
        <v/>
      </c>
      <c r="O41" s="20" t="str">
        <f t="shared" si="7"/>
        <v/>
      </c>
      <c r="P41" s="21">
        <f t="shared" si="8"/>
        <v>62.9</v>
      </c>
      <c r="Q41" s="22">
        <f t="shared" si="9"/>
        <v>49</v>
      </c>
    </row>
    <row r="43" spans="1:17" x14ac:dyDescent="0.2">
      <c r="A43" s="23"/>
    </row>
  </sheetData>
  <phoneticPr fontId="28" type="noConversion"/>
  <conditionalFormatting sqref="J2:J41">
    <cfRule type="expression" dxfId="2" priority="2">
      <formula>LEFT(J2,3)="RED"</formula>
    </cfRule>
    <cfRule type="expression" dxfId="1" priority="3">
      <formula>LEFT(J2,6)="YELLOW"</formula>
    </cfRule>
    <cfRule type="expression" dxfId="0" priority="4">
      <formula>LEFT(J2,5)="GREEN"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showGridLines="0" zoomScale="70" zoomScaleNormal="70" workbookViewId="0">
      <selection activeCell="O34" sqref="O34"/>
    </sheetView>
  </sheetViews>
  <sheetFormatPr baseColWidth="10" defaultColWidth="8.6640625" defaultRowHeight="15" x14ac:dyDescent="0.2"/>
  <cols>
    <col min="1" max="1" width="23.1640625" customWidth="1"/>
    <col min="2" max="12" width="10.5" customWidth="1"/>
    <col min="13" max="14" width="20" customWidth="1"/>
  </cols>
  <sheetData>
    <row r="1" spans="1:14" ht="33.75" customHeight="1" x14ac:dyDescent="0.2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N1" s="1" t="s">
        <v>1</v>
      </c>
    </row>
    <row r="2" spans="1:14" ht="18" customHeight="1" x14ac:dyDescent="0.2">
      <c r="A2" s="28" t="s">
        <v>2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</row>
    <row r="3" spans="1:14" x14ac:dyDescent="0.2">
      <c r="M3" s="2" t="s">
        <v>3</v>
      </c>
      <c r="N3" s="2">
        <f>COUNTA('Student Data'!A2:A41)</f>
        <v>40</v>
      </c>
    </row>
    <row r="4" spans="1:14" ht="19.5" customHeight="1" x14ac:dyDescent="0.2">
      <c r="A4" s="29" t="s">
        <v>3</v>
      </c>
      <c r="B4" s="29"/>
      <c r="C4" s="30" t="s">
        <v>4</v>
      </c>
      <c r="D4" s="30"/>
      <c r="E4" s="31" t="s">
        <v>5</v>
      </c>
      <c r="F4" s="31"/>
      <c r="G4" s="32" t="s">
        <v>6</v>
      </c>
      <c r="H4" s="32"/>
      <c r="I4" s="33" t="s">
        <v>7</v>
      </c>
      <c r="J4" s="33"/>
      <c r="M4" s="2" t="s">
        <v>8</v>
      </c>
      <c r="N4" s="2">
        <f>COUNTIF('Student Data'!J2:J41,"RED - Dual Risk")</f>
        <v>10</v>
      </c>
    </row>
    <row r="5" spans="1:14" ht="30" customHeight="1" x14ac:dyDescent="0.2">
      <c r="A5" s="34">
        <f>N3</f>
        <v>40</v>
      </c>
      <c r="B5" s="34"/>
      <c r="C5" s="35">
        <f>N4</f>
        <v>10</v>
      </c>
      <c r="D5" s="35"/>
      <c r="E5" s="36">
        <f>N5</f>
        <v>20</v>
      </c>
      <c r="F5" s="36"/>
      <c r="G5" s="37">
        <f>N6</f>
        <v>10</v>
      </c>
      <c r="H5" s="37"/>
      <c r="I5" s="38">
        <f>N7</f>
        <v>0.75</v>
      </c>
      <c r="J5" s="38"/>
      <c r="M5" s="2" t="s">
        <v>9</v>
      </c>
      <c r="N5" s="2">
        <f>COUNTIF('Student Data'!J2:J41,"YELLOW - Single Risk")</f>
        <v>20</v>
      </c>
    </row>
    <row r="6" spans="1:14" ht="30" customHeight="1" x14ac:dyDescent="0.2">
      <c r="A6" s="34"/>
      <c r="B6" s="34"/>
      <c r="C6" s="35"/>
      <c r="D6" s="35"/>
      <c r="E6" s="36"/>
      <c r="F6" s="36"/>
      <c r="G6" s="37"/>
      <c r="H6" s="37"/>
      <c r="I6" s="38"/>
      <c r="J6" s="38"/>
      <c r="M6" s="2" t="s">
        <v>10</v>
      </c>
      <c r="N6" s="2">
        <f>COUNTIF('Student Data'!J2:J41,"GREEN - Satisfactory")</f>
        <v>10</v>
      </c>
    </row>
    <row r="7" spans="1:14" ht="30" customHeight="1" x14ac:dyDescent="0.2">
      <c r="A7" s="34"/>
      <c r="B7" s="34"/>
      <c r="C7" s="35"/>
      <c r="D7" s="35"/>
      <c r="E7" s="36"/>
      <c r="F7" s="36"/>
      <c r="G7" s="37"/>
      <c r="H7" s="37"/>
      <c r="I7" s="38"/>
      <c r="J7" s="38"/>
      <c r="M7" s="2" t="s">
        <v>11</v>
      </c>
      <c r="N7" s="2">
        <f>(N4+N5)/N3</f>
        <v>0.75</v>
      </c>
    </row>
    <row r="8" spans="1:14" ht="15.75" customHeight="1" x14ac:dyDescent="0.2">
      <c r="A8" s="39" t="s">
        <v>12</v>
      </c>
      <c r="B8" s="39"/>
      <c r="C8" s="39" t="s">
        <v>12</v>
      </c>
      <c r="D8" s="39"/>
      <c r="E8" s="39" t="s">
        <v>12</v>
      </c>
      <c r="F8" s="39"/>
      <c r="G8" s="39" t="s">
        <v>12</v>
      </c>
      <c r="H8" s="39"/>
      <c r="I8" s="39" t="s">
        <v>13</v>
      </c>
      <c r="J8" s="39"/>
      <c r="M8" s="2" t="s">
        <v>14</v>
      </c>
      <c r="N8" s="2">
        <f>AVERAGE('Student Data'!F2:F41)</f>
        <v>64.392500000000013</v>
      </c>
    </row>
    <row r="9" spans="1:14" x14ac:dyDescent="0.2">
      <c r="M9" s="2" t="s">
        <v>15</v>
      </c>
      <c r="N9" s="2">
        <f>AVERAGE('Student Data'!G2:G41)</f>
        <v>74.362500000000011</v>
      </c>
    </row>
    <row r="10" spans="1:14" ht="19.5" customHeight="1" x14ac:dyDescent="0.2">
      <c r="A10" s="3" t="s">
        <v>16</v>
      </c>
      <c r="B10" s="4">
        <f>N8</f>
        <v>64.392500000000013</v>
      </c>
      <c r="D10" s="3" t="s">
        <v>17</v>
      </c>
      <c r="E10" s="5">
        <f>N9</f>
        <v>74.362500000000011</v>
      </c>
      <c r="G10" s="3" t="s">
        <v>18</v>
      </c>
      <c r="H10" s="4">
        <f>N10</f>
        <v>43.3</v>
      </c>
      <c r="J10" s="3" t="s">
        <v>19</v>
      </c>
      <c r="K10" s="5">
        <f>N11</f>
        <v>51.6</v>
      </c>
      <c r="M10" s="2" t="s">
        <v>20</v>
      </c>
      <c r="N10" s="2">
        <f>MIN('Student Data'!F2:F41)</f>
        <v>43.3</v>
      </c>
    </row>
    <row r="11" spans="1:14" x14ac:dyDescent="0.2">
      <c r="M11" s="2" t="s">
        <v>21</v>
      </c>
      <c r="N11" s="2">
        <f>MIN('Student Data'!G2:G41)</f>
        <v>51.6</v>
      </c>
    </row>
    <row r="13" spans="1:14" ht="16" x14ac:dyDescent="0.2">
      <c r="A13" s="6" t="s">
        <v>22</v>
      </c>
      <c r="D13" s="12" t="s">
        <v>116</v>
      </c>
    </row>
    <row r="14" spans="1:14" x14ac:dyDescent="0.2">
      <c r="A14" s="7" t="s">
        <v>23</v>
      </c>
      <c r="B14" s="7" t="s">
        <v>24</v>
      </c>
      <c r="D14" s="7" t="s">
        <v>28</v>
      </c>
      <c r="E14" s="7" t="s">
        <v>29</v>
      </c>
      <c r="F14" s="7" t="s">
        <v>30</v>
      </c>
      <c r="G14" s="7" t="s">
        <v>31</v>
      </c>
    </row>
    <row r="15" spans="1:14" x14ac:dyDescent="0.2">
      <c r="A15" s="8" t="s">
        <v>25</v>
      </c>
      <c r="B15" s="9">
        <f>N4</f>
        <v>10</v>
      </c>
      <c r="D15" s="9" t="s">
        <v>32</v>
      </c>
      <c r="E15" s="13">
        <v>4</v>
      </c>
      <c r="F15" s="14">
        <v>9</v>
      </c>
      <c r="G15" s="15">
        <v>27</v>
      </c>
    </row>
    <row r="16" spans="1:14" x14ac:dyDescent="0.2">
      <c r="A16" s="10" t="s">
        <v>26</v>
      </c>
      <c r="B16" s="9">
        <f>N5</f>
        <v>20</v>
      </c>
      <c r="D16" s="9" t="s">
        <v>33</v>
      </c>
      <c r="E16" s="13">
        <v>5</v>
      </c>
      <c r="F16" s="14">
        <v>10</v>
      </c>
      <c r="G16" s="15">
        <v>25</v>
      </c>
    </row>
    <row r="17" spans="1:7" x14ac:dyDescent="0.2">
      <c r="A17" s="11" t="s">
        <v>27</v>
      </c>
      <c r="B17" s="9">
        <f>N6</f>
        <v>10</v>
      </c>
      <c r="D17" s="9" t="s">
        <v>34</v>
      </c>
      <c r="E17" s="13">
        <v>7</v>
      </c>
      <c r="F17" s="14">
        <v>11</v>
      </c>
      <c r="G17" s="15">
        <v>22</v>
      </c>
    </row>
    <row r="18" spans="1:7" x14ac:dyDescent="0.2">
      <c r="D18" s="9" t="s">
        <v>35</v>
      </c>
      <c r="E18" s="13">
        <v>9</v>
      </c>
      <c r="F18" s="14">
        <v>10</v>
      </c>
      <c r="G18" s="15">
        <v>21</v>
      </c>
    </row>
    <row r="19" spans="1:7" x14ac:dyDescent="0.2">
      <c r="D19" s="9" t="s">
        <v>36</v>
      </c>
      <c r="E19" s="13">
        <v>8</v>
      </c>
      <c r="F19" s="14">
        <v>9</v>
      </c>
      <c r="G19" s="15">
        <v>23</v>
      </c>
    </row>
    <row r="20" spans="1:7" x14ac:dyDescent="0.2">
      <c r="D20" s="9" t="s">
        <v>37</v>
      </c>
      <c r="E20" s="13">
        <v>6</v>
      </c>
      <c r="F20" s="14">
        <v>8</v>
      </c>
      <c r="G20" s="15">
        <v>26</v>
      </c>
    </row>
  </sheetData>
  <mergeCells count="17">
    <mergeCell ref="A8:B8"/>
    <mergeCell ref="C8:D8"/>
    <mergeCell ref="E8:F8"/>
    <mergeCell ref="G8:H8"/>
    <mergeCell ref="I8:J8"/>
    <mergeCell ref="A5:B7"/>
    <mergeCell ref="C5:D7"/>
    <mergeCell ref="E5:F7"/>
    <mergeCell ref="G5:H7"/>
    <mergeCell ref="I5:J7"/>
    <mergeCell ref="A1:L1"/>
    <mergeCell ref="A2:L2"/>
    <mergeCell ref="A4:B4"/>
    <mergeCell ref="C4:D4"/>
    <mergeCell ref="E4:F4"/>
    <mergeCell ref="G4:H4"/>
    <mergeCell ref="I4:J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5"/>
  <sheetViews>
    <sheetView tabSelected="1" zoomScaleNormal="100" workbookViewId="0">
      <selection activeCell="A9" sqref="A9"/>
    </sheetView>
  </sheetViews>
  <sheetFormatPr baseColWidth="10" defaultColWidth="8.6640625" defaultRowHeight="15" x14ac:dyDescent="0.2"/>
  <cols>
    <col min="1" max="1" width="90" customWidth="1"/>
  </cols>
  <sheetData>
    <row r="1" spans="1:1" ht="18" x14ac:dyDescent="0.2">
      <c r="A1" s="24" t="s">
        <v>98</v>
      </c>
    </row>
    <row r="2" spans="1:1" x14ac:dyDescent="0.2">
      <c r="A2" s="25"/>
    </row>
    <row r="3" spans="1:1" x14ac:dyDescent="0.2">
      <c r="A3" s="25" t="s">
        <v>99</v>
      </c>
    </row>
    <row r="4" spans="1:1" x14ac:dyDescent="0.2">
      <c r="A4" s="25" t="s">
        <v>100</v>
      </c>
    </row>
    <row r="5" spans="1:1" x14ac:dyDescent="0.2">
      <c r="A5" s="25"/>
    </row>
    <row r="6" spans="1:1" x14ac:dyDescent="0.2">
      <c r="A6" s="25" t="s">
        <v>101</v>
      </c>
    </row>
    <row r="7" spans="1:1" x14ac:dyDescent="0.2">
      <c r="A7" s="25" t="s">
        <v>157</v>
      </c>
    </row>
    <row r="8" spans="1:1" x14ac:dyDescent="0.2">
      <c r="A8" s="25" t="s">
        <v>158</v>
      </c>
    </row>
    <row r="9" spans="1:1" x14ac:dyDescent="0.2">
      <c r="A9" s="25"/>
    </row>
    <row r="10" spans="1:1" x14ac:dyDescent="0.2">
      <c r="A10" s="25" t="s">
        <v>102</v>
      </c>
    </row>
    <row r="11" spans="1:1" x14ac:dyDescent="0.2">
      <c r="A11" s="25" t="s">
        <v>103</v>
      </c>
    </row>
    <row r="12" spans="1:1" x14ac:dyDescent="0.2">
      <c r="A12" s="25" t="s">
        <v>104</v>
      </c>
    </row>
    <row r="13" spans="1:1" x14ac:dyDescent="0.2">
      <c r="A13" s="25"/>
    </row>
    <row r="14" spans="1:1" x14ac:dyDescent="0.2">
      <c r="A14" s="25" t="s">
        <v>105</v>
      </c>
    </row>
    <row r="15" spans="1:1" x14ac:dyDescent="0.2">
      <c r="A15" s="25" t="s">
        <v>106</v>
      </c>
    </row>
    <row r="16" spans="1:1" x14ac:dyDescent="0.2">
      <c r="A16" s="25" t="s">
        <v>107</v>
      </c>
    </row>
    <row r="17" spans="1:1" x14ac:dyDescent="0.2">
      <c r="A17" s="25"/>
    </row>
    <row r="18" spans="1:1" x14ac:dyDescent="0.2">
      <c r="A18" s="25" t="s">
        <v>108</v>
      </c>
    </row>
    <row r="19" spans="1:1" x14ac:dyDescent="0.2">
      <c r="A19" s="25" t="s">
        <v>109</v>
      </c>
    </row>
    <row r="20" spans="1:1" x14ac:dyDescent="0.2">
      <c r="A20" s="25" t="s">
        <v>110</v>
      </c>
    </row>
    <row r="21" spans="1:1" x14ac:dyDescent="0.2">
      <c r="A21" s="25" t="s">
        <v>111</v>
      </c>
    </row>
    <row r="22" spans="1:1" x14ac:dyDescent="0.2">
      <c r="A22" s="25" t="s">
        <v>112</v>
      </c>
    </row>
    <row r="23" spans="1:1" x14ac:dyDescent="0.2">
      <c r="A23" s="25"/>
    </row>
    <row r="24" spans="1:1" x14ac:dyDescent="0.2">
      <c r="A24" s="25" t="s">
        <v>113</v>
      </c>
    </row>
    <row r="25" spans="1:1" x14ac:dyDescent="0.2">
      <c r="A25" s="25" t="s">
        <v>114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Student Data</vt:lpstr>
      <vt:lpstr>Dashboard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MOHAMMED MAASHI</cp:lastModifiedBy>
  <cp:revision>1</cp:revision>
  <dcterms:created xsi:type="dcterms:W3CDTF">2026-07-10T14:43:42Z</dcterms:created>
  <dcterms:modified xsi:type="dcterms:W3CDTF">2026-08-07T22:00:04Z</dcterms:modified>
  <dc:language>en-US</dc:language>
</cp:coreProperties>
</file>